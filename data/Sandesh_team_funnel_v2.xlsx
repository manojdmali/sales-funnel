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D29817D1-0462-4997-B956-50C81183EEEF}" xr6:coauthVersionLast="47" xr6:coauthVersionMax="47" xr10:uidLastSave="{00000000-0000-0000-0000-000000000000}"/>
  <bookViews>
    <workbookView xWindow="-110" yWindow="-110" windowWidth="19420" windowHeight="11500" firstSheet="6" activeTab="11" xr2:uid="{D0C80545-01EC-48BC-9802-4ADAE69E2EFD}"/>
  </bookViews>
  <sheets>
    <sheet name="Target Ass-Target Achieved" sheetId="1" r:id="rId1"/>
    <sheet name="Order Booked" sheetId="11" r:id="rId2"/>
    <sheet name="Payment Collection " sheetId="2" r:id="rId3"/>
    <sheet name="Funnel" sheetId="3" r:id="rId4"/>
    <sheet name="Proposal Submitted" sheetId="4" r:id="rId5"/>
    <sheet name="Demo" sheetId="6" r:id="rId6"/>
    <sheet name="Partner on board" sheetId="7" r:id="rId7"/>
    <sheet name="DC visit" sheetId="8" r:id="rId8"/>
    <sheet name="Client Direct visit" sheetId="9" r:id="rId9"/>
    <sheet name="Events Attend" sheetId="10" r:id="rId10"/>
    <sheet name="Tender" sheetId="12" r:id="rId11"/>
    <sheet name="Daily report" sheetId="18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0" i="1" l="1"/>
  <c r="L20" i="1" s="1"/>
  <c r="G20" i="1"/>
  <c r="I20" i="1" s="1"/>
  <c r="D20" i="1"/>
  <c r="F20" i="1" s="1"/>
  <c r="J19" i="1"/>
  <c r="L19" i="1" s="1"/>
  <c r="G19" i="1"/>
  <c r="I19" i="1" s="1"/>
  <c r="D19" i="1"/>
  <c r="F19" i="1" s="1"/>
  <c r="J18" i="1"/>
  <c r="L18" i="1" s="1"/>
  <c r="G18" i="1"/>
  <c r="I18" i="1" s="1"/>
  <c r="D18" i="1"/>
  <c r="F18" i="1" s="1"/>
  <c r="I2" i="4"/>
  <c r="L2" i="4" s="1"/>
  <c r="J6" i="1" l="1"/>
  <c r="L6" i="1" s="1"/>
  <c r="G6" i="1"/>
  <c r="I6" i="1" s="1"/>
  <c r="D6" i="1"/>
  <c r="F6" i="1" s="1"/>
  <c r="J5" i="1"/>
  <c r="L5" i="1" s="1"/>
  <c r="G5" i="1"/>
  <c r="I5" i="1" s="1"/>
  <c r="D5" i="1"/>
  <c r="F5" i="1" s="1"/>
  <c r="J4" i="1"/>
  <c r="L4" i="1" s="1"/>
  <c r="G4" i="1"/>
  <c r="I4" i="1" s="1"/>
  <c r="D4" i="1"/>
  <c r="F4" i="1" s="1"/>
</calcChain>
</file>

<file path=xl/sharedStrings.xml><?xml version="1.0" encoding="utf-8"?>
<sst xmlns="http://schemas.openxmlformats.org/spreadsheetml/2006/main" count="695" uniqueCount="304">
  <si>
    <t>FY 25-26 (in Cr.)</t>
  </si>
  <si>
    <t>April</t>
  </si>
  <si>
    <t>May</t>
  </si>
  <si>
    <t>June</t>
  </si>
  <si>
    <t>Full name</t>
  </si>
  <si>
    <t>Rutuja Rajesh Lokhande</t>
  </si>
  <si>
    <t>Q1 (in Cr.)</t>
  </si>
  <si>
    <t>Assigned</t>
  </si>
  <si>
    <t>Achieved</t>
  </si>
  <si>
    <t>Percentage</t>
  </si>
  <si>
    <t>Invoicing Targets</t>
  </si>
  <si>
    <t>Collection Targets</t>
  </si>
  <si>
    <r>
      <t xml:space="preserve">ACV </t>
    </r>
    <r>
      <rPr>
        <b/>
        <sz val="11"/>
        <color rgb="FF000000"/>
        <rFont val="Calibri"/>
        <family val="2"/>
      </rPr>
      <t>Order Booking Targets</t>
    </r>
  </si>
  <si>
    <t>Q2 (in Cr.)</t>
  </si>
  <si>
    <t>Q3 (in Cr.)</t>
  </si>
  <si>
    <t>Q4 (in Cr.)</t>
  </si>
  <si>
    <t>Yearly Target</t>
  </si>
  <si>
    <t>Sr No</t>
  </si>
  <si>
    <t>Sales Person Name</t>
  </si>
  <si>
    <t>Client ID</t>
  </si>
  <si>
    <t>Client Name</t>
  </si>
  <si>
    <t>Invoice Amount</t>
  </si>
  <si>
    <t>Received Amount</t>
  </si>
  <si>
    <t>TDS</t>
  </si>
  <si>
    <t>Sr.No</t>
  </si>
  <si>
    <t>Date</t>
  </si>
  <si>
    <t>Opportunity Owner Name</t>
  </si>
  <si>
    <t>Organisation Name</t>
  </si>
  <si>
    <t>If Partner Involved, mention Partner Organisation Name</t>
  </si>
  <si>
    <t>What are we selling here</t>
  </si>
  <si>
    <t>Opportunity Id</t>
  </si>
  <si>
    <t>Tender/ Non Tender</t>
  </si>
  <si>
    <t>Sales Stages (L1 to L5)</t>
  </si>
  <si>
    <t>Contact Name</t>
  </si>
  <si>
    <t>Contact no.</t>
  </si>
  <si>
    <t>17/04/2025</t>
  </si>
  <si>
    <t>Rutuja Lokhande</t>
  </si>
  <si>
    <t>Tripura state co-op bank</t>
  </si>
  <si>
    <t>Managed Services</t>
  </si>
  <si>
    <t>L2</t>
  </si>
  <si>
    <t>Lead Converted to Opportunity</t>
  </si>
  <si>
    <t>Abhir Dasgupta</t>
  </si>
  <si>
    <t>tripurascbltd@gmail.com</t>
  </si>
  <si>
    <t xml:space="preserve">4th june meeting scheduled with client </t>
  </si>
  <si>
    <t>25/04/2025</t>
  </si>
  <si>
    <t>MOZIRAM cooperative apex bank ltd</t>
  </si>
  <si>
    <t>all product of bfsi cloud</t>
  </si>
  <si>
    <t>L1</t>
  </si>
  <si>
    <t>Lead identified</t>
  </si>
  <si>
    <t>Sanga</t>
  </si>
  <si>
    <t>it@moziapex.com</t>
  </si>
  <si>
    <t xml:space="preserve">After 15th june to call client </t>
  </si>
  <si>
    <t xml:space="preserve">Suvidha Consultant </t>
  </si>
  <si>
    <t xml:space="preserve">Monitoring </t>
  </si>
  <si>
    <t>Sanjay Mazumder</t>
  </si>
  <si>
    <t>Sanjay@suvidhaconsultant.com</t>
  </si>
  <si>
    <t>Requirement was small so we cant go further</t>
  </si>
  <si>
    <t>19/05/2025</t>
  </si>
  <si>
    <t>Aditya Birla Cooperation</t>
  </si>
  <si>
    <t xml:space="preserve">Dark Web Monitoring </t>
  </si>
  <si>
    <t>Mr. Anurag Goel</t>
  </si>
  <si>
    <t>anurag.goel@adityabirla.com</t>
  </si>
  <si>
    <t>Had a demo and RGS is sent and yet to receive reply from him</t>
  </si>
  <si>
    <t>20/05/2025</t>
  </si>
  <si>
    <t>Standard Urban Cooperative Bank, Aurangabad</t>
  </si>
  <si>
    <t>SOC</t>
  </si>
  <si>
    <t>Lead Identified</t>
  </si>
  <si>
    <t>Sailesh Kuthe</t>
  </si>
  <si>
    <t>admin.support@standardurbanbank.co.in</t>
  </si>
  <si>
    <t xml:space="preserve">Had a call and he told in next 1 month there will be requirement for SOC in the bank so need to follow up at that time june end or july starting RFP will come </t>
  </si>
  <si>
    <t>Shree Mahavir Sahakari Bank Ltd. Jalgaon</t>
  </si>
  <si>
    <t>Red Fox Security</t>
  </si>
  <si>
    <t>Dhruv Nagpal</t>
  </si>
  <si>
    <t>dhruv.nagpal@redfoxsec.com</t>
  </si>
  <si>
    <t>NA</t>
  </si>
  <si>
    <t>Sr. No</t>
  </si>
  <si>
    <t>POT ID</t>
  </si>
  <si>
    <r>
      <t xml:space="preserve">Source- 
</t>
    </r>
    <r>
      <rPr>
        <b/>
        <sz val="8"/>
        <rFont val="Calibri"/>
        <family val="2"/>
      </rPr>
      <t>Direct/ Channel/Alliance/Partner</t>
    </r>
  </si>
  <si>
    <t>Sales person</t>
  </si>
  <si>
    <t>Client Name/ Account Name</t>
  </si>
  <si>
    <t>Opportunity name</t>
  </si>
  <si>
    <t>MRR</t>
  </si>
  <si>
    <t>ACV</t>
  </si>
  <si>
    <t>OTC</t>
  </si>
  <si>
    <t>Project Tenure</t>
  </si>
  <si>
    <t>TCV</t>
  </si>
  <si>
    <t>Sales Stage
(L1-L6)</t>
  </si>
  <si>
    <t>Stage Description</t>
  </si>
  <si>
    <t>Probability %</t>
  </si>
  <si>
    <t>Sales Type:
 Net New, Upsell, Existing</t>
  </si>
  <si>
    <t>Industry</t>
  </si>
  <si>
    <t>Region</t>
  </si>
  <si>
    <t>Channel/Allaince 
manager Name</t>
  </si>
  <si>
    <t>Remark</t>
  </si>
  <si>
    <t xml:space="preserve">Demo Product Name </t>
  </si>
  <si>
    <t>Name of Client Spoc /  Email ID &amp; Contact Number</t>
  </si>
  <si>
    <t xml:space="preserve">Products/ Services Pitched </t>
  </si>
  <si>
    <t>Email id</t>
  </si>
  <si>
    <t>Mobile number</t>
  </si>
  <si>
    <t xml:space="preserve">Event Name </t>
  </si>
  <si>
    <t xml:space="preserve">Organisaed by </t>
  </si>
  <si>
    <t>Topic</t>
  </si>
  <si>
    <t>Venue</t>
  </si>
  <si>
    <t>To</t>
  </si>
  <si>
    <t>Total Client Visited</t>
  </si>
  <si>
    <t xml:space="preserve">Total Delegates Attended </t>
  </si>
  <si>
    <t>MRR (Cr.)</t>
  </si>
  <si>
    <t>ACV (Cr.)</t>
  </si>
  <si>
    <t>OTC (Cr.)</t>
  </si>
  <si>
    <t>TCV (Cr.)</t>
  </si>
  <si>
    <t>Expected Closer Date</t>
  </si>
  <si>
    <t xml:space="preserve">QuarterQ1-Q4) </t>
  </si>
  <si>
    <t>Sr No.</t>
  </si>
  <si>
    <t>POT Id</t>
  </si>
  <si>
    <t>Who Working</t>
  </si>
  <si>
    <t>Customer Name</t>
  </si>
  <si>
    <t>Tender Name</t>
  </si>
  <si>
    <t>Published Date</t>
  </si>
  <si>
    <t>Last Date Purchase RFP</t>
  </si>
  <si>
    <t>Last Date Submit Pre Bid Queries</t>
  </si>
  <si>
    <t>Pre-Bid Date</t>
  </si>
  <si>
    <t>Submission Date</t>
  </si>
  <si>
    <t>Technical Tender Opening Date</t>
  </si>
  <si>
    <t>Commercial Tender Opening Date</t>
  </si>
  <si>
    <t>Tender Fee</t>
  </si>
  <si>
    <t>EMD</t>
  </si>
  <si>
    <t xml:space="preserve">Bank Guarntee Percentage </t>
  </si>
  <si>
    <t xml:space="preserve">Contact Person </t>
  </si>
  <si>
    <t>Contact No.</t>
  </si>
  <si>
    <t>Email ID</t>
  </si>
  <si>
    <t xml:space="preserve">Submission Address </t>
  </si>
  <si>
    <t xml:space="preserve">Account Manager </t>
  </si>
  <si>
    <t>Submitted (Yes/No)</t>
  </si>
  <si>
    <t xml:space="preserve">if Not Submitted Remark </t>
  </si>
  <si>
    <t>Email Id</t>
  </si>
  <si>
    <t>Nelito Systems</t>
  </si>
  <si>
    <t>Future X</t>
  </si>
  <si>
    <t>ESDS</t>
  </si>
  <si>
    <t>Hotel Lemon Tree</t>
  </si>
  <si>
    <t>Bharat Cooperative Banking Event</t>
  </si>
  <si>
    <t>Rugr Fintech</t>
  </si>
  <si>
    <t>Hotel The Lalit</t>
  </si>
  <si>
    <t xml:space="preserve">Rutuja Lokhnade </t>
  </si>
  <si>
    <t>Astra Cybertech</t>
  </si>
  <si>
    <t xml:space="preserve">NDA signed </t>
  </si>
  <si>
    <t xml:space="preserve">Products </t>
  </si>
  <si>
    <t>Cyber security services and Certin empanelled</t>
  </si>
  <si>
    <t>Contact Person name</t>
  </si>
  <si>
    <t>Conatct no</t>
  </si>
  <si>
    <t>Treacle tech</t>
  </si>
  <si>
    <t>Honey pot/Decoys</t>
  </si>
  <si>
    <t xml:space="preserve">Rutuja Lokhande </t>
  </si>
  <si>
    <t xml:space="preserve">Dheer Gala </t>
  </si>
  <si>
    <t>Dheer.Gala@astracybertech.com</t>
  </si>
  <si>
    <t xml:space="preserve">Vivek Sharma </t>
  </si>
  <si>
    <t>vivek@treacletech.com</t>
  </si>
  <si>
    <t>NUCFDC</t>
  </si>
  <si>
    <t>DC and DR services for there Sahakar box</t>
  </si>
  <si>
    <t>BFSI</t>
  </si>
  <si>
    <t>Mumbai</t>
  </si>
  <si>
    <t>Concerto Software Solution</t>
  </si>
  <si>
    <t>Partnership</t>
  </si>
  <si>
    <t>DC and DR proposals</t>
  </si>
  <si>
    <t>Complete Company Offerings</t>
  </si>
  <si>
    <t>west</t>
  </si>
  <si>
    <t xml:space="preserve">SOC </t>
  </si>
  <si>
    <t>DC and DR</t>
  </si>
  <si>
    <t>Ramesh Dubey</t>
  </si>
  <si>
    <t>ramesh.dubey@nelito.com</t>
  </si>
  <si>
    <t>POT-ID</t>
  </si>
  <si>
    <t xml:space="preserve">Cloud Hosting </t>
  </si>
  <si>
    <t xml:space="preserve">Direct </t>
  </si>
  <si>
    <t>Redfox security</t>
  </si>
  <si>
    <t>SOC -Primary Site (DC)</t>
  </si>
  <si>
    <t>L3</t>
  </si>
  <si>
    <t>New</t>
  </si>
  <si>
    <t>Proposal submitted</t>
  </si>
  <si>
    <t xml:space="preserve">Cybersecurity </t>
  </si>
  <si>
    <t xml:space="preserve">Redfox Security </t>
  </si>
  <si>
    <t xml:space="preserve">SOC proposal </t>
  </si>
  <si>
    <t xml:space="preserve">Proposal sent </t>
  </si>
  <si>
    <t xml:space="preserve">Email </t>
  </si>
  <si>
    <t>Contant Name</t>
  </si>
  <si>
    <t xml:space="preserve">Sales Person </t>
  </si>
  <si>
    <t>Account /Client Name</t>
  </si>
  <si>
    <t>Product Pitched in</t>
  </si>
  <si>
    <t>Sector</t>
  </si>
  <si>
    <t>Contact person</t>
  </si>
  <si>
    <t>Proposal submitted, revised proposal sent</t>
  </si>
  <si>
    <t>Innoval Digital Solutions</t>
  </si>
  <si>
    <t>Nitin Chikhale</t>
  </si>
  <si>
    <t>nitin.chikhale@ivldsp.com</t>
  </si>
  <si>
    <t>Marven Data Systems</t>
  </si>
  <si>
    <t>Varun G</t>
  </si>
  <si>
    <t>gvv@mdsinc.in</t>
  </si>
  <si>
    <t>FSS</t>
  </si>
  <si>
    <t xml:space="preserve">Nelito Systems </t>
  </si>
  <si>
    <t>smsbankit@smsbankj.co.in</t>
  </si>
  <si>
    <t>July</t>
  </si>
  <si>
    <t>Aug</t>
  </si>
  <si>
    <t>Sep</t>
  </si>
  <si>
    <t xml:space="preserve">Domain Migration </t>
  </si>
  <si>
    <t xml:space="preserve">Existing </t>
  </si>
  <si>
    <t xml:space="preserve">Website </t>
  </si>
  <si>
    <t>Latest Remark</t>
  </si>
  <si>
    <t>NO Go</t>
  </si>
  <si>
    <t xml:space="preserve">Bijnore Urban Cooperative Bank </t>
  </si>
  <si>
    <t xml:space="preserve">Pala &amp; Ponani Cooperative Bank </t>
  </si>
  <si>
    <t>Managed Hosting Services</t>
  </si>
  <si>
    <t>Infrastruture Hosting for Fincraft CBS and additional VMs</t>
  </si>
  <si>
    <t>1 yr</t>
  </si>
  <si>
    <t>3 yr</t>
  </si>
  <si>
    <t>L6</t>
  </si>
  <si>
    <t xml:space="preserve">PO received </t>
  </si>
  <si>
    <t>WON</t>
  </si>
  <si>
    <t>Q2</t>
  </si>
  <si>
    <t>S.N</t>
  </si>
  <si>
    <t>Leads Received From</t>
  </si>
  <si>
    <t>Nature</t>
  </si>
  <si>
    <t>New/Existing Lead</t>
  </si>
  <si>
    <t xml:space="preserve">Tender / Opportunity Details </t>
  </si>
  <si>
    <t>Bank / Cr.Soc./Company Name</t>
  </si>
  <si>
    <t>Solutions / Products</t>
  </si>
  <si>
    <t>Person Name</t>
  </si>
  <si>
    <t>Designation</t>
  </si>
  <si>
    <t xml:space="preserve">Contact No </t>
  </si>
  <si>
    <t xml:space="preserve">Address </t>
  </si>
  <si>
    <t>State</t>
  </si>
  <si>
    <t>Product Interested In</t>
  </si>
  <si>
    <t>Next Action</t>
  </si>
  <si>
    <t>Next Follow up Date</t>
  </si>
  <si>
    <t>Telemarketing</t>
  </si>
  <si>
    <t xml:space="preserve">Telecalling </t>
  </si>
  <si>
    <t>Old Lead</t>
  </si>
  <si>
    <t xml:space="preserve">Opportunity </t>
  </si>
  <si>
    <t xml:space="preserve">Shree Mahaveer Sahakari Bank </t>
  </si>
  <si>
    <t>Product</t>
  </si>
  <si>
    <t>Suryakant Sapakle</t>
  </si>
  <si>
    <t>IT head</t>
  </si>
  <si>
    <t>Jalgaon</t>
  </si>
  <si>
    <t xml:space="preserve">Maharshtra </t>
  </si>
  <si>
    <t xml:space="preserve">RGS to be collected </t>
  </si>
  <si>
    <t xml:space="preserve">16 th sep for RGS collection </t>
  </si>
  <si>
    <t>New Lead</t>
  </si>
  <si>
    <t>Solution</t>
  </si>
  <si>
    <t>Domain .in</t>
  </si>
  <si>
    <t>Sales Call</t>
  </si>
  <si>
    <t xml:space="preserve">Bulwark Technologies </t>
  </si>
  <si>
    <t>Over all product offerings</t>
  </si>
  <si>
    <t>Sandesh Panchal</t>
  </si>
  <si>
    <t>West Head Sales</t>
  </si>
  <si>
    <t>sandesh@bulwarktech.com</t>
  </si>
  <si>
    <t xml:space="preserve">All service offerings </t>
  </si>
  <si>
    <t xml:space="preserve">Meeting done in Airoli DC and NDA needs to be shared </t>
  </si>
  <si>
    <t xml:space="preserve">Bank of Maharashtra </t>
  </si>
  <si>
    <t>Ankita Singh</t>
  </si>
  <si>
    <t>PA of Arun Kababade</t>
  </si>
  <si>
    <t>Pune</t>
  </si>
  <si>
    <t xml:space="preserve">Asking for demo to be arranged </t>
  </si>
  <si>
    <t xml:space="preserve">18th Sep </t>
  </si>
  <si>
    <t xml:space="preserve">PINC insurance and Brokerage </t>
  </si>
  <si>
    <t xml:space="preserve">Sreenath Modali </t>
  </si>
  <si>
    <t>Senior VP</t>
  </si>
  <si>
    <t>sreenath.modali@pincinsure.com</t>
  </si>
  <si>
    <t>Maharashtra</t>
  </si>
  <si>
    <t>URL</t>
  </si>
  <si>
    <t>POT-08033</t>
  </si>
  <si>
    <t xml:space="preserve">The Janatha Co-operative Bank
</t>
  </si>
  <si>
    <t>Migration and Implementation of CBS and Digital Banking Solution</t>
  </si>
  <si>
    <t>Jagadesh</t>
  </si>
  <si>
    <t xml:space="preserve"> 080-25651874 /080 2344 2648</t>
  </si>
  <si>
    <t>_</t>
  </si>
  <si>
    <t>No.156,17th Cross,8th Main Road,560055
Malleshwaram</t>
  </si>
  <si>
    <t>Sandesh Sonar</t>
  </si>
  <si>
    <t>No</t>
  </si>
  <si>
    <t>Due to higher bid</t>
  </si>
  <si>
    <t>POT-00346</t>
  </si>
  <si>
    <t xml:space="preserve">Jammu And Kashmir Bank </t>
  </si>
  <si>
    <t>Empanelment of service provider (jio infocomm ltd.) for mpls/internet/core connectivity for j&amp;k bank branches/offices/atms.</t>
  </si>
  <si>
    <t xml:space="preserve">Mr. Sajad Ameen Bhat </t>
  </si>
  <si>
    <t>sajad.ameen@jkbmail.com</t>
  </si>
  <si>
    <t>J&amp;K Bank Ltd.
Estates &amp; Engineering Department, Corporate Headquarters, Srinagar,
M. A. Road Srinagar, 190 001 J&amp;K Tele: 0194- 2402665</t>
  </si>
  <si>
    <t>no</t>
  </si>
  <si>
    <t>As per discussion With Chetan Shirsath we are not Participate this Tender</t>
  </si>
  <si>
    <t>POT-00505</t>
  </si>
  <si>
    <t>Indian Institute Of Managerment Raipur</t>
  </si>
  <si>
    <t>Supply, Installation, Maintenance and Support of IT
Infrastructure on Cloud for Hosting of Webpages for
Common Admission Process (CAP) 2021</t>
  </si>
  <si>
    <t>590/-</t>
  </si>
  <si>
    <t>21000/-</t>
  </si>
  <si>
    <t xml:space="preserve">Mr.Shakib Ahmed </t>
  </si>
  <si>
    <t xml:space="preserve"> 0771-2474-610/609</t>
  </si>
  <si>
    <t>caooffice@iimraipur.ac.in, itdept@iimraipur.ac.in</t>
  </si>
  <si>
    <t>IIM Raipur,
Atal Nagar, Kurru (Abhanpur), Raipur 493661,</t>
  </si>
  <si>
    <t>As per discussion with Rakesh bachhav , He said we are not participate this tender</t>
  </si>
  <si>
    <t>Employee Name</t>
  </si>
  <si>
    <t>Payment Received date</t>
  </si>
  <si>
    <t>17/6/2025</t>
  </si>
  <si>
    <t>21/6/2025</t>
  </si>
  <si>
    <t>17/8/2025</t>
  </si>
  <si>
    <t>25/9/2025</t>
  </si>
  <si>
    <t>Sandesh sonar</t>
  </si>
  <si>
    <t>GO</t>
  </si>
  <si>
    <t>Go</t>
  </si>
  <si>
    <t>Sachin Lokhande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</si>
</sst>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&quot;₹&quot;\ * #,##0.00_ ;_ &quot;₹&quot;\ * \-#,##0.00_ ;_ &quot;₹&quot;\ * &quot;-&quot;??_ ;_ @_ "/>
    <numFmt numFmtId="165" formatCode="0.000"/>
    <numFmt numFmtId="166" formatCode="[$-409]d\-mmm\-yy;@"/>
    <numFmt numFmtId="167" formatCode="#,##0.0000"/>
    <numFmt numFmtId="168" formatCode="#,##0.00000"/>
    <numFmt numFmtId="169" formatCode="#,##0.000000"/>
    <numFmt numFmtId="170" formatCode="#,##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0"/>
      <color rgb="FF000000"/>
      <name val="Cambria"/>
      <family val="1"/>
    </font>
    <font>
      <b/>
      <sz val="11"/>
      <color rgb="FF042F3E"/>
      <name val="Calibri"/>
      <family val="2"/>
    </font>
    <font>
      <b/>
      <sz val="11"/>
      <color rgb="FF203764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</font>
    <font>
      <b/>
      <sz val="8"/>
      <name val="Calibri"/>
      <family val="2"/>
    </font>
    <font>
      <sz val="11"/>
      <name val="Calibri"/>
      <family val="2"/>
    </font>
    <font>
      <sz val="11"/>
      <color indexed="8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Verdana"/>
      <family val="2"/>
    </font>
  </fonts>
  <fills count="1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theme="8" tint="0.79998168889431442"/>
        <bgColor rgb="FF5B9BD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theme="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indexed="31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9" fontId="3" fillId="2" borderId="2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3" fillId="0" borderId="4" xfId="0" applyFont="1" applyBorder="1" applyAlignment="1">
      <alignment vertical="center"/>
    </xf>
    <xf numFmtId="2" fontId="1" fillId="0" borderId="3" xfId="0" applyNumberFormat="1" applyFont="1" applyBorder="1" applyAlignment="1">
      <alignment horizontal="center"/>
    </xf>
    <xf numFmtId="0" fontId="1" fillId="0" borderId="3" xfId="0" applyFont="1" applyBorder="1"/>
    <xf numFmtId="0" fontId="5" fillId="0" borderId="4" xfId="0" applyFont="1" applyBorder="1" applyAlignment="1">
      <alignment vertical="center"/>
    </xf>
    <xf numFmtId="0" fontId="1" fillId="0" borderId="3" xfId="0" applyFont="1" applyBorder="1" applyAlignment="1">
      <alignment horizontal="center"/>
    </xf>
    <xf numFmtId="0" fontId="3" fillId="0" borderId="5" xfId="0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1" fillId="4" borderId="3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6" fillId="6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9" fontId="0" fillId="0" borderId="3" xfId="0" applyNumberFormat="1" applyBorder="1"/>
    <xf numFmtId="0" fontId="7" fillId="0" borderId="3" xfId="1" applyBorder="1"/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0" xfId="0" applyAlignment="1">
      <alignment vertical="center"/>
    </xf>
    <xf numFmtId="0" fontId="8" fillId="8" borderId="3" xfId="0" applyFont="1" applyFill="1" applyBorder="1" applyAlignment="1">
      <alignment horizontal="center" vertical="center" wrapText="1"/>
    </xf>
    <xf numFmtId="164" fontId="8" fillId="8" borderId="3" xfId="0" applyNumberFormat="1" applyFont="1" applyFill="1" applyBorder="1" applyAlignment="1">
      <alignment horizontal="center" wrapText="1"/>
    </xf>
    <xf numFmtId="1" fontId="8" fillId="8" borderId="3" xfId="0" applyNumberFormat="1" applyFont="1" applyFill="1" applyBorder="1" applyAlignment="1">
      <alignment horizontal="center" vertical="center" wrapText="1"/>
    </xf>
    <xf numFmtId="165" fontId="8" fillId="8" borderId="3" xfId="0" applyNumberFormat="1" applyFont="1" applyFill="1" applyBorder="1" applyAlignment="1">
      <alignment horizontal="center" wrapText="1"/>
    </xf>
    <xf numFmtId="0" fontId="1" fillId="8" borderId="3" xfId="0" applyFont="1" applyFill="1" applyBorder="1" applyAlignment="1">
      <alignment vertical="center"/>
    </xf>
    <xf numFmtId="0" fontId="8" fillId="8" borderId="3" xfId="0" applyFont="1" applyFill="1" applyBorder="1" applyAlignment="1">
      <alignment vertical="center" wrapText="1"/>
    </xf>
    <xf numFmtId="0" fontId="8" fillId="8" borderId="3" xfId="0" applyFont="1" applyFill="1" applyBorder="1" applyAlignment="1">
      <alignment horizontal="left" vertical="center" wrapText="1"/>
    </xf>
    <xf numFmtId="164" fontId="8" fillId="8" borderId="3" xfId="0" applyNumberFormat="1" applyFont="1" applyFill="1" applyBorder="1" applyAlignment="1">
      <alignment vertical="center" wrapText="1"/>
    </xf>
    <xf numFmtId="164" fontId="8" fillId="8" borderId="3" xfId="0" applyNumberFormat="1" applyFont="1" applyFill="1" applyBorder="1" applyAlignment="1">
      <alignment horizontal="left" vertical="center" wrapText="1"/>
    </xf>
    <xf numFmtId="165" fontId="8" fillId="8" borderId="3" xfId="0" applyNumberFormat="1" applyFont="1" applyFill="1" applyBorder="1" applyAlignment="1">
      <alignment vertical="center" wrapText="1"/>
    </xf>
    <xf numFmtId="0" fontId="0" fillId="0" borderId="3" xfId="0" applyBorder="1" applyAlignment="1">
      <alignment wrapText="1"/>
    </xf>
    <xf numFmtId="0" fontId="8" fillId="9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left" vertical="center" wrapText="1"/>
    </xf>
    <xf numFmtId="164" fontId="8" fillId="9" borderId="3" xfId="0" applyNumberFormat="1" applyFont="1" applyFill="1" applyBorder="1" applyAlignment="1">
      <alignment horizontal="right" vertical="center" wrapText="1"/>
    </xf>
    <xf numFmtId="0" fontId="8" fillId="9" borderId="3" xfId="0" applyFont="1" applyFill="1" applyBorder="1" applyAlignment="1">
      <alignment horizontal="right" vertical="center" wrapText="1"/>
    </xf>
    <xf numFmtId="165" fontId="8" fillId="9" borderId="3" xfId="0" applyNumberFormat="1" applyFont="1" applyFill="1" applyBorder="1" applyAlignment="1">
      <alignment horizontal="right" vertical="center" wrapText="1"/>
    </xf>
    <xf numFmtId="166" fontId="8" fillId="9" borderId="3" xfId="0" applyNumberFormat="1" applyFont="1" applyFill="1" applyBorder="1" applyAlignment="1">
      <alignment horizontal="center" vertical="center" wrapText="1"/>
    </xf>
    <xf numFmtId="0" fontId="1" fillId="10" borderId="9" xfId="0" applyFont="1" applyFill="1" applyBorder="1" applyAlignment="1">
      <alignment horizontal="center"/>
    </xf>
    <xf numFmtId="0" fontId="1" fillId="10" borderId="9" xfId="0" applyFont="1" applyFill="1" applyBorder="1" applyAlignment="1">
      <alignment horizontal="left"/>
    </xf>
    <xf numFmtId="0" fontId="1" fillId="10" borderId="3" xfId="0" applyFont="1" applyFill="1" applyBorder="1" applyAlignment="1">
      <alignment horizontal="center"/>
    </xf>
    <xf numFmtId="0" fontId="1" fillId="10" borderId="3" xfId="0" applyFont="1" applyFill="1" applyBorder="1"/>
    <xf numFmtId="14" fontId="1" fillId="10" borderId="3" xfId="0" applyNumberFormat="1" applyFont="1" applyFill="1" applyBorder="1" applyAlignment="1">
      <alignment horizontal="center"/>
    </xf>
    <xf numFmtId="15" fontId="0" fillId="0" borderId="0" xfId="0" applyNumberFormat="1" applyAlignment="1">
      <alignment vertical="center"/>
    </xf>
    <xf numFmtId="0" fontId="8" fillId="8" borderId="7" xfId="0" applyFont="1" applyFill="1" applyBorder="1" applyAlignment="1">
      <alignment horizontal="left" vertical="center" wrapText="1"/>
    </xf>
    <xf numFmtId="0" fontId="1" fillId="0" borderId="0" xfId="0" applyFont="1"/>
    <xf numFmtId="14" fontId="0" fillId="0" borderId="3" xfId="0" applyNumberFormat="1" applyBorder="1"/>
    <xf numFmtId="0" fontId="7" fillId="0" borderId="0" xfId="1"/>
    <xf numFmtId="14" fontId="0" fillId="0" borderId="0" xfId="0" applyNumberFormat="1"/>
    <xf numFmtId="9" fontId="0" fillId="0" borderId="0" xfId="0" applyNumberFormat="1"/>
    <xf numFmtId="3" fontId="0" fillId="0" borderId="0" xfId="0" applyNumberFormat="1"/>
    <xf numFmtId="0" fontId="10" fillId="0" borderId="0" xfId="0" applyFont="1" applyAlignment="1">
      <alignment horizontal="center" vertical="center" wrapText="1"/>
    </xf>
    <xf numFmtId="9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1" fillId="0" borderId="3" xfId="0" applyNumberFormat="1" applyFont="1" applyBorder="1"/>
    <xf numFmtId="165" fontId="1" fillId="0" borderId="3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2" fillId="0" borderId="3" xfId="0" applyFont="1" applyBorder="1"/>
    <xf numFmtId="0" fontId="13" fillId="11" borderId="3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left" vertical="center"/>
    </xf>
    <xf numFmtId="0" fontId="11" fillId="12" borderId="3" xfId="0" applyFont="1" applyFill="1" applyBorder="1" applyAlignment="1">
      <alignment horizontal="left" vertical="center"/>
    </xf>
    <xf numFmtId="0" fontId="1" fillId="10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0" fillId="0" borderId="9" xfId="0" applyBorder="1" applyAlignment="1">
      <alignment horizontal="left"/>
    </xf>
    <xf numFmtId="3" fontId="0" fillId="0" borderId="3" xfId="0" applyNumberFormat="1" applyBorder="1"/>
    <xf numFmtId="0" fontId="0" fillId="0" borderId="11" xfId="0" applyBorder="1"/>
    <xf numFmtId="0" fontId="15" fillId="0" borderId="3" xfId="0" applyFont="1" applyBorder="1" applyAlignment="1">
      <alignment horizontal="left" vertical="top"/>
    </xf>
    <xf numFmtId="0" fontId="14" fillId="13" borderId="10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billing.esds.co.in/staffarea/invoices.php?action=edit&amp;id=62551" TargetMode="External"/><Relationship Id="rId3" Type="http://schemas.openxmlformats.org/officeDocument/2006/relationships/hyperlink" Target="https://billing.esds.co.in/staffarea/invoices.php?action=edit&amp;id=63863" TargetMode="External"/><Relationship Id="rId7" Type="http://schemas.openxmlformats.org/officeDocument/2006/relationships/hyperlink" Target="https://billing.esds.co.in/staffarea/invoices.php?action=edit&amp;id=62926" TargetMode="External"/><Relationship Id="rId2" Type="http://schemas.openxmlformats.org/officeDocument/2006/relationships/image" Target="../media/image1.gif"/><Relationship Id="rId1" Type="http://schemas.openxmlformats.org/officeDocument/2006/relationships/hyperlink" Target="https://billing.esds.co.in/staffarea/invoices.php?action=edit&amp;id=63864" TargetMode="External"/><Relationship Id="rId6" Type="http://schemas.openxmlformats.org/officeDocument/2006/relationships/hyperlink" Target="https://billing.esds.co.in/staffarea/invoices.php?action=edit&amp;id=63116" TargetMode="External"/><Relationship Id="rId5" Type="http://schemas.openxmlformats.org/officeDocument/2006/relationships/hyperlink" Target="https://billing.esds.co.in/staffarea/invoices.php?action=edit&amp;id=63117" TargetMode="External"/><Relationship Id="rId10" Type="http://schemas.openxmlformats.org/officeDocument/2006/relationships/hyperlink" Target="https://billing.esds.co.in/staffarea/invoices.php?action=edit&amp;id=62165" TargetMode="External"/><Relationship Id="rId4" Type="http://schemas.openxmlformats.org/officeDocument/2006/relationships/hyperlink" Target="https://billing.esds.co.in/staffarea/invoices.php?action=edit&amp;id=63118" TargetMode="External"/><Relationship Id="rId9" Type="http://schemas.openxmlformats.org/officeDocument/2006/relationships/hyperlink" Target="https://billing.esds.co.in/staffarea/invoices.php?action=edit&amp;id=62166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0</xdr:row>
      <xdr:rowOff>0</xdr:rowOff>
    </xdr:from>
    <xdr:to>
      <xdr:col>10</xdr:col>
      <xdr:colOff>152400</xdr:colOff>
      <xdr:row>0</xdr:row>
      <xdr:rowOff>152400</xdr:rowOff>
    </xdr:to>
    <xdr:pic>
      <xdr:nvPicPr>
        <xdr:cNvPr id="3" name="Picture 2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0874C-7628-4466-8F65-79BF30B57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15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152400</xdr:colOff>
      <xdr:row>0</xdr:row>
      <xdr:rowOff>152400</xdr:rowOff>
    </xdr:to>
    <xdr:pic>
      <xdr:nvPicPr>
        <xdr:cNvPr id="4" name="Picture 3" descr="Edit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C3C563-A441-4F69-B983-530AE2413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15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152400</xdr:colOff>
      <xdr:row>0</xdr:row>
      <xdr:rowOff>152400</xdr:rowOff>
    </xdr:to>
    <xdr:pic>
      <xdr:nvPicPr>
        <xdr:cNvPr id="5" name="Picture 4" descr="Edit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7CCE43E-5575-457F-BFA6-641D269E1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15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152400</xdr:colOff>
      <xdr:row>0</xdr:row>
      <xdr:rowOff>152400</xdr:rowOff>
    </xdr:to>
    <xdr:pic>
      <xdr:nvPicPr>
        <xdr:cNvPr id="6" name="Picture 5" descr="Edi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7504AD-8F8F-486B-A206-74E208D2A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15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152400</xdr:colOff>
      <xdr:row>0</xdr:row>
      <xdr:rowOff>152400</xdr:rowOff>
    </xdr:to>
    <xdr:pic>
      <xdr:nvPicPr>
        <xdr:cNvPr id="7" name="Picture 6" descr="Edi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06FE231-91BE-4F6D-B271-9CFB182A2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15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152400</xdr:colOff>
      <xdr:row>0</xdr:row>
      <xdr:rowOff>152400</xdr:rowOff>
    </xdr:to>
    <xdr:pic>
      <xdr:nvPicPr>
        <xdr:cNvPr id="8" name="Picture 7" descr="Edi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A29BA8C-2CDD-4363-A132-F883C9FF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15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152400</xdr:colOff>
      <xdr:row>0</xdr:row>
      <xdr:rowOff>152400</xdr:rowOff>
    </xdr:to>
    <xdr:pic>
      <xdr:nvPicPr>
        <xdr:cNvPr id="9" name="Picture 8" descr="Edi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7CB64D-9CF4-4BCE-B25B-A1881A272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15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0</xdr:colOff>
      <xdr:row>0</xdr:row>
      <xdr:rowOff>0</xdr:rowOff>
    </xdr:from>
    <xdr:to>
      <xdr:col>10</xdr:col>
      <xdr:colOff>152400</xdr:colOff>
      <xdr:row>0</xdr:row>
      <xdr:rowOff>152400</xdr:rowOff>
    </xdr:to>
    <xdr:pic>
      <xdr:nvPicPr>
        <xdr:cNvPr id="10" name="Picture 9" descr="Edi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4CF1C1B9-9302-41A2-BF80-CDC5954CA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315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16" name="Picture 15" descr="Edit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09A058-BC9F-47C4-82EB-4BF3F6862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17" name="Picture 16" descr="Edit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CFF72A-73B8-415E-83F3-566825B86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18" name="Picture 17" descr="Edit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57C3B93-3258-401F-A64D-182A7E82A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19" name="Picture 18" descr="Edit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DBC442-B27E-4B72-A181-88A145A8C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20" name="Picture 19" descr="Edit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41C2E898-9A81-4468-A7D7-8E1157D75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21" name="Picture 20" descr="Edit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B49E764-38D9-47AC-9028-C740F71CB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22" name="Picture 21" descr="Edit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A9F31803-DE65-4EF9-B568-79639AF80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23" name="Picture 22" descr="Edit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3763EE4-10DA-4B24-80A0-44DA76AA8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0</xdr:colOff>
      <xdr:row>0</xdr:row>
      <xdr:rowOff>0</xdr:rowOff>
    </xdr:from>
    <xdr:to>
      <xdr:col>11</xdr:col>
      <xdr:colOff>152400</xdr:colOff>
      <xdr:row>0</xdr:row>
      <xdr:rowOff>152400</xdr:rowOff>
    </xdr:to>
    <xdr:pic>
      <xdr:nvPicPr>
        <xdr:cNvPr id="24" name="Picture 23" descr="Edit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188FE7A-040A-424B-B544-88DE7B7F7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056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6</xdr:row>
      <xdr:rowOff>0</xdr:rowOff>
    </xdr:from>
    <xdr:to>
      <xdr:col>10</xdr:col>
      <xdr:colOff>304800</xdr:colOff>
      <xdr:row>7</xdr:row>
      <xdr:rowOff>156653</xdr:rowOff>
    </xdr:to>
    <xdr:sp macro="" textlink="">
      <xdr:nvSpPr>
        <xdr:cNvPr id="2" name="AutoShape 2">
          <a:extLst>
            <a:ext uri="{FF2B5EF4-FFF2-40B4-BE49-F238E27FC236}">
              <a16:creationId xmlns:a16="http://schemas.microsoft.com/office/drawing/2014/main" id="{B5A32DE5-74CD-476B-9D03-2D90A02BA819}"/>
            </a:ext>
          </a:extLst>
        </xdr:cNvPr>
        <xdr:cNvSpPr>
          <a:spLocks noChangeAspect="1" noChangeArrowheads="1"/>
        </xdr:cNvSpPr>
      </xdr:nvSpPr>
      <xdr:spPr bwMode="auto">
        <a:xfrm>
          <a:off x="11537950" y="2025650"/>
          <a:ext cx="304800" cy="340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10</xdr:col>
      <xdr:colOff>0</xdr:colOff>
      <xdr:row>6</xdr:row>
      <xdr:rowOff>0</xdr:rowOff>
    </xdr:from>
    <xdr:ext cx="304800" cy="342900"/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8369AACA-F23C-46B1-99AD-5234D776B46A}"/>
            </a:ext>
          </a:extLst>
        </xdr:cNvPr>
        <xdr:cNvSpPr>
          <a:spLocks noChangeAspect="1" noChangeArrowheads="1"/>
        </xdr:cNvSpPr>
      </xdr:nvSpPr>
      <xdr:spPr bwMode="auto">
        <a:xfrm>
          <a:off x="11537950" y="2025650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</xdr:row>
      <xdr:rowOff>0</xdr:rowOff>
    </xdr:from>
    <xdr:ext cx="304800" cy="342900"/>
    <xdr:sp macro="" textlink="">
      <xdr:nvSpPr>
        <xdr:cNvPr id="4" name="AutoShape 2">
          <a:extLst>
            <a:ext uri="{FF2B5EF4-FFF2-40B4-BE49-F238E27FC236}">
              <a16:creationId xmlns:a16="http://schemas.microsoft.com/office/drawing/2014/main" id="{AAC759CD-05CC-4CAC-971E-B1096DCCA333}"/>
            </a:ext>
          </a:extLst>
        </xdr:cNvPr>
        <xdr:cNvSpPr>
          <a:spLocks noChangeAspect="1" noChangeArrowheads="1"/>
        </xdr:cNvSpPr>
      </xdr:nvSpPr>
      <xdr:spPr bwMode="auto">
        <a:xfrm>
          <a:off x="11537950" y="2025650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6</xdr:row>
      <xdr:rowOff>0</xdr:rowOff>
    </xdr:from>
    <xdr:ext cx="304800" cy="342900"/>
    <xdr:sp macro="" textlink="">
      <xdr:nvSpPr>
        <xdr:cNvPr id="5" name="AutoShape 2">
          <a:extLst>
            <a:ext uri="{FF2B5EF4-FFF2-40B4-BE49-F238E27FC236}">
              <a16:creationId xmlns:a16="http://schemas.microsoft.com/office/drawing/2014/main" id="{4136E9DC-AA00-410A-8939-CD19ED593C1C}"/>
            </a:ext>
          </a:extLst>
        </xdr:cNvPr>
        <xdr:cNvSpPr>
          <a:spLocks noChangeAspect="1" noChangeArrowheads="1"/>
        </xdr:cNvSpPr>
      </xdr:nvSpPr>
      <xdr:spPr bwMode="auto">
        <a:xfrm>
          <a:off x="11537950" y="2025650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40803"/>
    <xdr:sp macro="" textlink="">
      <xdr:nvSpPr>
        <xdr:cNvPr id="6" name="AutoShape 2">
          <a:extLst>
            <a:ext uri="{FF2B5EF4-FFF2-40B4-BE49-F238E27FC236}">
              <a16:creationId xmlns:a16="http://schemas.microsoft.com/office/drawing/2014/main" id="{364BA8B1-194E-4BA8-B3B1-175650051D03}"/>
            </a:ext>
          </a:extLst>
        </xdr:cNvPr>
        <xdr:cNvSpPr>
          <a:spLocks noChangeAspect="1" noChangeArrowheads="1"/>
        </xdr:cNvSpPr>
      </xdr:nvSpPr>
      <xdr:spPr bwMode="auto">
        <a:xfrm>
          <a:off x="12611100" y="1104900"/>
          <a:ext cx="304800" cy="340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42900"/>
    <xdr:sp macro="" textlink="">
      <xdr:nvSpPr>
        <xdr:cNvPr id="7" name="AutoShape 2">
          <a:extLst>
            <a:ext uri="{FF2B5EF4-FFF2-40B4-BE49-F238E27FC236}">
              <a16:creationId xmlns:a16="http://schemas.microsoft.com/office/drawing/2014/main" id="{5012CB0B-9014-41DA-8544-C5A91ABFF31C}"/>
            </a:ext>
          </a:extLst>
        </xdr:cNvPr>
        <xdr:cNvSpPr>
          <a:spLocks noChangeAspect="1" noChangeArrowheads="1"/>
        </xdr:cNvSpPr>
      </xdr:nvSpPr>
      <xdr:spPr bwMode="auto">
        <a:xfrm>
          <a:off x="12611100" y="1104900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42900"/>
    <xdr:sp macro="" textlink="">
      <xdr:nvSpPr>
        <xdr:cNvPr id="8" name="AutoShape 2">
          <a:extLst>
            <a:ext uri="{FF2B5EF4-FFF2-40B4-BE49-F238E27FC236}">
              <a16:creationId xmlns:a16="http://schemas.microsoft.com/office/drawing/2014/main" id="{4599804C-BC71-40ED-8332-242C4F353577}"/>
            </a:ext>
          </a:extLst>
        </xdr:cNvPr>
        <xdr:cNvSpPr>
          <a:spLocks noChangeAspect="1" noChangeArrowheads="1"/>
        </xdr:cNvSpPr>
      </xdr:nvSpPr>
      <xdr:spPr bwMode="auto">
        <a:xfrm>
          <a:off x="12611100" y="1104900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10</xdr:col>
      <xdr:colOff>0</xdr:colOff>
      <xdr:row>15</xdr:row>
      <xdr:rowOff>0</xdr:rowOff>
    </xdr:from>
    <xdr:ext cx="304800" cy="342900"/>
    <xdr:sp macro="" textlink="">
      <xdr:nvSpPr>
        <xdr:cNvPr id="9" name="AutoShape 2">
          <a:extLst>
            <a:ext uri="{FF2B5EF4-FFF2-40B4-BE49-F238E27FC236}">
              <a16:creationId xmlns:a16="http://schemas.microsoft.com/office/drawing/2014/main" id="{0F178EAB-6413-44A0-B4BF-A6FB394DC39C}"/>
            </a:ext>
          </a:extLst>
        </xdr:cNvPr>
        <xdr:cNvSpPr>
          <a:spLocks noChangeAspect="1" noChangeArrowheads="1"/>
        </xdr:cNvSpPr>
      </xdr:nvSpPr>
      <xdr:spPr bwMode="auto">
        <a:xfrm>
          <a:off x="12611100" y="1104900"/>
          <a:ext cx="304800" cy="342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anjay@suvidhaconsultant.com" TargetMode="External"/><Relationship Id="rId2" Type="http://schemas.openxmlformats.org/officeDocument/2006/relationships/hyperlink" Target="mailto:it@moziapex.com" TargetMode="External"/><Relationship Id="rId1" Type="http://schemas.openxmlformats.org/officeDocument/2006/relationships/hyperlink" Target="mailto:tripurascbltd@gmail.com" TargetMode="External"/><Relationship Id="rId5" Type="http://schemas.openxmlformats.org/officeDocument/2006/relationships/hyperlink" Target="mailto:admin.support@standardurbanbank.co.in" TargetMode="External"/><Relationship Id="rId4" Type="http://schemas.openxmlformats.org/officeDocument/2006/relationships/hyperlink" Target="mailto:anurag.goel@adityabirla.com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mailto:vivek@treacletech.com" TargetMode="External"/><Relationship Id="rId1" Type="http://schemas.openxmlformats.org/officeDocument/2006/relationships/hyperlink" Target="mailto:Dheer.Gala@astracybertech.com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mailto:ramesh.dubey@nelito.com" TargetMode="External"/><Relationship Id="rId1" Type="http://schemas.openxmlformats.org/officeDocument/2006/relationships/hyperlink" Target="mailto:dhruv.nagpal@redfoxsec.com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smsbankit@smsbankj.co.in" TargetMode="External"/><Relationship Id="rId13" Type="http://schemas.openxmlformats.org/officeDocument/2006/relationships/drawing" Target="../drawings/drawing2.xml"/><Relationship Id="rId3" Type="http://schemas.openxmlformats.org/officeDocument/2006/relationships/hyperlink" Target="mailto:sandesh@bulwarktech.com" TargetMode="External"/><Relationship Id="rId7" Type="http://schemas.openxmlformats.org/officeDocument/2006/relationships/hyperlink" Target="mailto:sreenath.modali@pincinsure.com" TargetMode="External"/><Relationship Id="rId12" Type="http://schemas.openxmlformats.org/officeDocument/2006/relationships/hyperlink" Target="mailto:smsbankit@smsbankj.co.in" TargetMode="External"/><Relationship Id="rId2" Type="http://schemas.openxmlformats.org/officeDocument/2006/relationships/hyperlink" Target="mailto:smsbankit@smsbankj.co.in" TargetMode="External"/><Relationship Id="rId1" Type="http://schemas.openxmlformats.org/officeDocument/2006/relationships/hyperlink" Target="mailto:smsbankit@smsbankj.co.in" TargetMode="External"/><Relationship Id="rId6" Type="http://schemas.openxmlformats.org/officeDocument/2006/relationships/hyperlink" Target="mailto:sandesh@bulwarktech.com" TargetMode="External"/><Relationship Id="rId11" Type="http://schemas.openxmlformats.org/officeDocument/2006/relationships/hyperlink" Target="mailto:sreenath.modali@pincinsure.com" TargetMode="External"/><Relationship Id="rId5" Type="http://schemas.openxmlformats.org/officeDocument/2006/relationships/hyperlink" Target="mailto:smsbankit@smsbankj.co.in" TargetMode="External"/><Relationship Id="rId10" Type="http://schemas.openxmlformats.org/officeDocument/2006/relationships/hyperlink" Target="mailto:sandesh@bulwarktech.com" TargetMode="External"/><Relationship Id="rId4" Type="http://schemas.openxmlformats.org/officeDocument/2006/relationships/hyperlink" Target="mailto:sreenath.modali@pincinsure.com" TargetMode="External"/><Relationship Id="rId9" Type="http://schemas.openxmlformats.org/officeDocument/2006/relationships/hyperlink" Target="mailto:smsbankit@smsbankj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24BE-52B8-4802-A4C9-9A21D7073C70}">
  <dimension ref="A1:L26"/>
  <sheetViews>
    <sheetView topLeftCell="A7" workbookViewId="0">
      <selection activeCell="D22" sqref="D22"/>
    </sheetView>
  </sheetViews>
  <sheetFormatPr defaultRowHeight="14.5" x14ac:dyDescent="0.35"/>
  <cols>
    <col min="1" max="1" width="23.7265625" bestFit="1" customWidth="1"/>
    <col min="2" max="2" width="21.36328125" bestFit="1" customWidth="1"/>
    <col min="11" max="11" width="13.08984375" customWidth="1"/>
    <col min="12" max="12" width="15.08984375" customWidth="1"/>
  </cols>
  <sheetData>
    <row r="1" spans="1:12" ht="15" thickBot="1" x14ac:dyDescent="0.4"/>
    <row r="2" spans="1:12" ht="15" thickBot="1" x14ac:dyDescent="0.4">
      <c r="A2" s="1"/>
      <c r="B2" s="2" t="s">
        <v>0</v>
      </c>
      <c r="C2" s="3">
        <v>0.2</v>
      </c>
      <c r="D2" s="79" t="s">
        <v>1</v>
      </c>
      <c r="E2" s="79"/>
      <c r="F2" s="79"/>
      <c r="G2" s="79" t="s">
        <v>2</v>
      </c>
      <c r="H2" s="79"/>
      <c r="I2" s="79"/>
      <c r="J2" s="79" t="s">
        <v>3</v>
      </c>
      <c r="K2" s="79"/>
      <c r="L2" s="79"/>
    </row>
    <row r="3" spans="1:12" ht="15" thickBot="1" x14ac:dyDescent="0.4">
      <c r="A3" s="4" t="s">
        <v>4</v>
      </c>
      <c r="B3" s="5" t="s">
        <v>5</v>
      </c>
      <c r="C3" s="6" t="s">
        <v>6</v>
      </c>
      <c r="D3" s="7" t="s">
        <v>7</v>
      </c>
      <c r="E3" s="7" t="s">
        <v>8</v>
      </c>
      <c r="F3" s="7" t="s">
        <v>9</v>
      </c>
      <c r="G3" s="7" t="s">
        <v>7</v>
      </c>
      <c r="H3" s="7" t="s">
        <v>8</v>
      </c>
      <c r="I3" s="7" t="s">
        <v>9</v>
      </c>
      <c r="J3" s="7" t="s">
        <v>7</v>
      </c>
      <c r="K3" s="7" t="s">
        <v>8</v>
      </c>
      <c r="L3" s="7" t="s">
        <v>9</v>
      </c>
    </row>
    <row r="4" spans="1:12" ht="15" thickBot="1" x14ac:dyDescent="0.4">
      <c r="A4" s="8" t="s">
        <v>10</v>
      </c>
      <c r="B4" s="6">
        <v>2</v>
      </c>
      <c r="C4" s="6">
        <v>0.4</v>
      </c>
      <c r="D4" s="9">
        <f>C4/3</f>
        <v>0.13333333333333333</v>
      </c>
      <c r="E4" s="9">
        <v>0</v>
      </c>
      <c r="F4" s="9">
        <f>E4/D4*100</f>
        <v>0</v>
      </c>
      <c r="G4" s="9">
        <f>C4/3</f>
        <v>0.13333333333333333</v>
      </c>
      <c r="H4" s="9">
        <v>0</v>
      </c>
      <c r="I4" s="9">
        <f>H4/G4*100</f>
        <v>0</v>
      </c>
      <c r="J4" s="9">
        <f>C4/3</f>
        <v>0.13333333333333333</v>
      </c>
      <c r="K4" s="10"/>
      <c r="L4" s="10">
        <f>K4/J4*100</f>
        <v>0</v>
      </c>
    </row>
    <row r="5" spans="1:12" ht="15" thickBot="1" x14ac:dyDescent="0.4">
      <c r="A5" s="8" t="s">
        <v>11</v>
      </c>
      <c r="B5" s="6">
        <v>2</v>
      </c>
      <c r="C5" s="6">
        <v>0.4</v>
      </c>
      <c r="D5" s="9">
        <f>C5/3</f>
        <v>0.13333333333333333</v>
      </c>
      <c r="E5" s="9">
        <v>0</v>
      </c>
      <c r="F5" s="9">
        <f t="shared" ref="F5:F6" si="0">E5/D5*100</f>
        <v>0</v>
      </c>
      <c r="G5" s="9">
        <f>C5/3</f>
        <v>0.13333333333333333</v>
      </c>
      <c r="H5" s="9">
        <v>0</v>
      </c>
      <c r="I5" s="9">
        <f t="shared" ref="I5:I6" si="1">H5/G5*100</f>
        <v>0</v>
      </c>
      <c r="J5" s="9">
        <f>C5/3</f>
        <v>0.13333333333333333</v>
      </c>
      <c r="K5" s="10"/>
      <c r="L5" s="10">
        <f t="shared" ref="L5:L6" si="2">K5/J5*100</f>
        <v>0</v>
      </c>
    </row>
    <row r="6" spans="1:12" ht="15" thickBot="1" x14ac:dyDescent="0.4">
      <c r="A6" s="11" t="s">
        <v>12</v>
      </c>
      <c r="B6" s="6">
        <v>3</v>
      </c>
      <c r="C6" s="6">
        <v>0.6</v>
      </c>
      <c r="D6" s="12">
        <f>C6/3</f>
        <v>0.19999999999999998</v>
      </c>
      <c r="E6" s="9">
        <v>0</v>
      </c>
      <c r="F6" s="9">
        <f t="shared" si="0"/>
        <v>0</v>
      </c>
      <c r="G6" s="12">
        <f>C6/3</f>
        <v>0.19999999999999998</v>
      </c>
      <c r="H6" s="9">
        <v>0</v>
      </c>
      <c r="I6" s="9">
        <f t="shared" si="1"/>
        <v>0</v>
      </c>
      <c r="J6" s="12">
        <f>C6/3</f>
        <v>0.19999999999999998</v>
      </c>
      <c r="K6" s="10"/>
      <c r="L6" s="10">
        <f t="shared" si="2"/>
        <v>0</v>
      </c>
    </row>
    <row r="8" spans="1:12" ht="15" thickBot="1" x14ac:dyDescent="0.4">
      <c r="B8" s="80" t="s">
        <v>16</v>
      </c>
      <c r="C8" s="80"/>
      <c r="D8" s="80"/>
      <c r="E8" s="80"/>
    </row>
    <row r="9" spans="1:12" ht="15" thickBot="1" x14ac:dyDescent="0.4">
      <c r="A9" s="1"/>
      <c r="B9" s="2" t="s">
        <v>0</v>
      </c>
      <c r="C9" s="3">
        <v>0.2</v>
      </c>
      <c r="D9" s="3">
        <v>0.24</v>
      </c>
      <c r="E9" s="3">
        <v>0.26</v>
      </c>
      <c r="F9" s="3">
        <v>0.3</v>
      </c>
    </row>
    <row r="10" spans="1:12" ht="15" thickBot="1" x14ac:dyDescent="0.4">
      <c r="A10" s="4" t="s">
        <v>4</v>
      </c>
      <c r="B10" s="5" t="s">
        <v>5</v>
      </c>
      <c r="C10" s="6" t="s">
        <v>6</v>
      </c>
      <c r="D10" s="6" t="s">
        <v>13</v>
      </c>
      <c r="E10" s="6" t="s">
        <v>14</v>
      </c>
      <c r="F10" s="6" t="s">
        <v>15</v>
      </c>
    </row>
    <row r="11" spans="1:12" ht="15" thickBot="1" x14ac:dyDescent="0.4">
      <c r="A11" s="8" t="s">
        <v>10</v>
      </c>
      <c r="B11" s="6">
        <v>2</v>
      </c>
      <c r="C11" s="13">
        <v>0.4</v>
      </c>
      <c r="D11" s="13">
        <v>0.48</v>
      </c>
      <c r="E11" s="6">
        <v>0.52</v>
      </c>
      <c r="F11" s="6">
        <v>0.6</v>
      </c>
    </row>
    <row r="12" spans="1:12" ht="15" thickBot="1" x14ac:dyDescent="0.4">
      <c r="A12" s="8" t="s">
        <v>11</v>
      </c>
      <c r="B12" s="6">
        <v>2</v>
      </c>
      <c r="C12" s="13">
        <v>0.4</v>
      </c>
      <c r="D12" s="13">
        <v>0.48</v>
      </c>
      <c r="E12" s="6">
        <v>0.52</v>
      </c>
      <c r="F12" s="6">
        <v>0.6</v>
      </c>
    </row>
    <row r="13" spans="1:12" ht="15" thickBot="1" x14ac:dyDescent="0.4">
      <c r="A13" s="11" t="s">
        <v>12</v>
      </c>
      <c r="B13" s="6">
        <v>3</v>
      </c>
      <c r="C13" s="13">
        <v>0.6</v>
      </c>
      <c r="D13" s="13">
        <v>0.72</v>
      </c>
      <c r="E13" s="6">
        <v>0.78</v>
      </c>
      <c r="F13" s="6">
        <v>0.9</v>
      </c>
    </row>
    <row r="15" spans="1:12" ht="15" thickBot="1" x14ac:dyDescent="0.4"/>
    <row r="16" spans="1:12" ht="15" thickBot="1" x14ac:dyDescent="0.4">
      <c r="A16" s="1"/>
      <c r="B16" s="2" t="s">
        <v>0</v>
      </c>
      <c r="C16" s="3">
        <v>0.2</v>
      </c>
      <c r="D16" s="79" t="s">
        <v>198</v>
      </c>
      <c r="E16" s="79"/>
      <c r="F16" s="79"/>
      <c r="G16" s="79" t="s">
        <v>199</v>
      </c>
      <c r="H16" s="79"/>
      <c r="I16" s="79"/>
      <c r="J16" s="79" t="s">
        <v>200</v>
      </c>
      <c r="K16" s="79"/>
      <c r="L16" s="79"/>
    </row>
    <row r="17" spans="1:12" ht="15" thickBot="1" x14ac:dyDescent="0.4">
      <c r="A17" s="4" t="s">
        <v>4</v>
      </c>
      <c r="B17" s="5" t="s">
        <v>5</v>
      </c>
      <c r="C17" s="6" t="s">
        <v>13</v>
      </c>
      <c r="D17" s="7" t="s">
        <v>7</v>
      </c>
      <c r="E17" s="7" t="s">
        <v>8</v>
      </c>
      <c r="F17" s="7" t="s">
        <v>9</v>
      </c>
      <c r="G17" s="7" t="s">
        <v>7</v>
      </c>
      <c r="H17" s="7" t="s">
        <v>8</v>
      </c>
      <c r="I17" s="7" t="s">
        <v>9</v>
      </c>
      <c r="J17" s="7" t="s">
        <v>7</v>
      </c>
      <c r="K17" s="7" t="s">
        <v>8</v>
      </c>
      <c r="L17" s="7" t="s">
        <v>9</v>
      </c>
    </row>
    <row r="18" spans="1:12" ht="15" thickBot="1" x14ac:dyDescent="0.4">
      <c r="A18" s="8" t="s">
        <v>10</v>
      </c>
      <c r="B18" s="6">
        <v>2</v>
      </c>
      <c r="C18" s="6">
        <v>0.4</v>
      </c>
      <c r="D18" s="9">
        <f>C18/3</f>
        <v>0.13333333333333333</v>
      </c>
      <c r="E18" s="9">
        <v>0</v>
      </c>
      <c r="F18" s="9">
        <f>E18/D18*100</f>
        <v>0</v>
      </c>
      <c r="G18" s="9">
        <f>C18/3</f>
        <v>0.13333333333333333</v>
      </c>
      <c r="H18" s="9">
        <v>0</v>
      </c>
      <c r="I18" s="9">
        <f>H18/G18*100</f>
        <v>0</v>
      </c>
      <c r="J18" s="9">
        <f>C18/3</f>
        <v>0.13333333333333333</v>
      </c>
      <c r="K18" s="10"/>
      <c r="L18" s="10">
        <f>K18/J18*100</f>
        <v>0</v>
      </c>
    </row>
    <row r="19" spans="1:12" ht="15" thickBot="1" x14ac:dyDescent="0.4">
      <c r="A19" s="8" t="s">
        <v>11</v>
      </c>
      <c r="B19" s="6">
        <v>2</v>
      </c>
      <c r="C19" s="6">
        <v>0.4</v>
      </c>
      <c r="D19" s="9">
        <f>C19/3</f>
        <v>0.13333333333333333</v>
      </c>
      <c r="E19" s="9">
        <v>0</v>
      </c>
      <c r="F19" s="9">
        <f t="shared" ref="F19:F20" si="3">E19/D19*100</f>
        <v>0</v>
      </c>
      <c r="G19" s="9">
        <f>C19/3</f>
        <v>0.13333333333333333</v>
      </c>
      <c r="H19" s="64">
        <v>3.5700000000000003E-2</v>
      </c>
      <c r="I19" s="9">
        <f t="shared" ref="I19:I20" si="4">H19/G19*100</f>
        <v>26.775000000000006</v>
      </c>
      <c r="J19" s="9">
        <f>C19/3</f>
        <v>0.13333333333333333</v>
      </c>
      <c r="K19" s="10">
        <v>0.23330000000000001</v>
      </c>
      <c r="L19" s="10">
        <f t="shared" ref="L19:L20" si="5">K19/J19*100</f>
        <v>174.97500000000002</v>
      </c>
    </row>
    <row r="20" spans="1:12" ht="15" thickBot="1" x14ac:dyDescent="0.4">
      <c r="A20" s="11" t="s">
        <v>12</v>
      </c>
      <c r="B20" s="6">
        <v>3</v>
      </c>
      <c r="C20" s="6">
        <v>0.6</v>
      </c>
      <c r="D20" s="12">
        <f>C20/3</f>
        <v>0.19999999999999998</v>
      </c>
      <c r="E20" s="9">
        <v>0</v>
      </c>
      <c r="F20" s="9">
        <f t="shared" si="3"/>
        <v>0</v>
      </c>
      <c r="G20" s="12">
        <f>C20/3</f>
        <v>0.19999999999999998</v>
      </c>
      <c r="H20" s="9">
        <v>0</v>
      </c>
      <c r="I20" s="9">
        <f t="shared" si="4"/>
        <v>0</v>
      </c>
      <c r="J20" s="12">
        <f>C20/3</f>
        <v>0.19999999999999998</v>
      </c>
      <c r="K20" s="63">
        <v>0.26400000000000001</v>
      </c>
      <c r="L20" s="10">
        <f t="shared" si="5"/>
        <v>132</v>
      </c>
    </row>
    <row r="24" spans="1:12" x14ac:dyDescent="0.35">
      <c r="G24" s="56"/>
      <c r="H24" s="56"/>
    </row>
    <row r="25" spans="1:12" x14ac:dyDescent="0.35">
      <c r="G25" s="56"/>
      <c r="H25" s="56"/>
    </row>
    <row r="26" spans="1:12" x14ac:dyDescent="0.35">
      <c r="H26" s="56"/>
    </row>
  </sheetData>
  <mergeCells count="7">
    <mergeCell ref="D2:F2"/>
    <mergeCell ref="G2:I2"/>
    <mergeCell ref="J2:L2"/>
    <mergeCell ref="B8:E8"/>
    <mergeCell ref="D16:F16"/>
    <mergeCell ref="G16:I16"/>
    <mergeCell ref="J16:L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4EDE6-FE1F-4AB8-90E2-9709239484B3}">
  <dimension ref="A2:P4"/>
  <sheetViews>
    <sheetView topLeftCell="E1" workbookViewId="0">
      <selection activeCell="B2" sqref="B2:Q2"/>
    </sheetView>
  </sheetViews>
  <sheetFormatPr defaultRowHeight="14.5" x14ac:dyDescent="0.35"/>
  <cols>
    <col min="2" max="2" width="20.26953125" customWidth="1"/>
    <col min="3" max="3" width="28.26953125" bestFit="1" customWidth="1"/>
    <col min="4" max="4" width="48.81640625" bestFit="1" customWidth="1"/>
    <col min="11" max="11" width="13.36328125" customWidth="1"/>
    <col min="12" max="12" width="14.453125" customWidth="1"/>
    <col min="13" max="13" width="15.90625" customWidth="1"/>
  </cols>
  <sheetData>
    <row r="2" spans="1:16" s="37" customFormat="1" ht="56" customHeight="1" x14ac:dyDescent="0.35">
      <c r="A2" s="38" t="s">
        <v>75</v>
      </c>
      <c r="B2" s="38" t="s">
        <v>78</v>
      </c>
      <c r="C2" s="39" t="s">
        <v>79</v>
      </c>
      <c r="D2" s="39" t="s">
        <v>80</v>
      </c>
      <c r="E2" s="39" t="s">
        <v>96</v>
      </c>
      <c r="F2" s="40" t="s">
        <v>106</v>
      </c>
      <c r="G2" s="40" t="s">
        <v>107</v>
      </c>
      <c r="H2" s="40" t="s">
        <v>108</v>
      </c>
      <c r="I2" s="41" t="s">
        <v>84</v>
      </c>
      <c r="J2" s="42" t="s">
        <v>109</v>
      </c>
      <c r="K2" s="38" t="s">
        <v>86</v>
      </c>
      <c r="L2" s="38" t="s">
        <v>87</v>
      </c>
      <c r="M2" s="38" t="s">
        <v>88</v>
      </c>
      <c r="N2" s="43" t="s">
        <v>110</v>
      </c>
      <c r="O2" s="43" t="s">
        <v>111</v>
      </c>
      <c r="P2" s="38" t="s">
        <v>89</v>
      </c>
    </row>
    <row r="3" spans="1:16" x14ac:dyDescent="0.35">
      <c r="A3">
        <v>1</v>
      </c>
      <c r="B3" t="s">
        <v>36</v>
      </c>
      <c r="C3" t="s">
        <v>207</v>
      </c>
      <c r="D3" t="s">
        <v>208</v>
      </c>
      <c r="E3" t="s">
        <v>170</v>
      </c>
      <c r="F3" s="56">
        <v>124858</v>
      </c>
      <c r="G3" s="56">
        <v>1498296</v>
      </c>
      <c r="H3" t="s">
        <v>74</v>
      </c>
      <c r="I3" t="s">
        <v>210</v>
      </c>
      <c r="J3" s="56">
        <v>1498296</v>
      </c>
      <c r="K3" t="s">
        <v>212</v>
      </c>
      <c r="L3" t="s">
        <v>213</v>
      </c>
      <c r="N3" t="s">
        <v>214</v>
      </c>
      <c r="O3" t="s">
        <v>215</v>
      </c>
      <c r="P3" t="s">
        <v>202</v>
      </c>
    </row>
    <row r="4" spans="1:16" x14ac:dyDescent="0.35">
      <c r="A4">
        <v>2</v>
      </c>
      <c r="B4" t="s">
        <v>36</v>
      </c>
      <c r="C4" t="s">
        <v>206</v>
      </c>
      <c r="D4" t="s">
        <v>209</v>
      </c>
      <c r="E4" t="s">
        <v>170</v>
      </c>
      <c r="F4" s="56">
        <v>96777</v>
      </c>
      <c r="G4" s="56">
        <v>1161324</v>
      </c>
      <c r="H4" t="s">
        <v>74</v>
      </c>
      <c r="I4" t="s">
        <v>211</v>
      </c>
      <c r="J4" s="56">
        <v>3483972</v>
      </c>
      <c r="K4" t="s">
        <v>212</v>
      </c>
      <c r="L4" t="s">
        <v>213</v>
      </c>
      <c r="N4" t="s">
        <v>214</v>
      </c>
      <c r="O4" t="s">
        <v>215</v>
      </c>
      <c r="P4" t="s">
        <v>202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2022-65AA-45AB-87CA-61845F735CC3}">
  <dimension ref="A1:H4"/>
  <sheetViews>
    <sheetView workbookViewId="0">
      <selection activeCell="D4" sqref="D4"/>
    </sheetView>
  </sheetViews>
  <sheetFormatPr defaultRowHeight="14.5" x14ac:dyDescent="0.35"/>
  <cols>
    <col min="2" max="2" width="14.36328125" customWidth="1"/>
    <col min="3" max="3" width="19.7265625" customWidth="1"/>
    <col min="4" max="4" width="16.90625" customWidth="1"/>
    <col min="5" max="5" width="16.81640625" customWidth="1"/>
    <col min="6" max="6" width="16.6328125" customWidth="1"/>
    <col min="7" max="7" width="11" customWidth="1"/>
  </cols>
  <sheetData>
    <row r="1" spans="1:8" ht="20" customHeight="1" x14ac:dyDescent="0.35">
      <c r="A1" s="15" t="s">
        <v>17</v>
      </c>
      <c r="B1" s="15" t="s">
        <v>18</v>
      </c>
      <c r="C1" s="16" t="s">
        <v>19</v>
      </c>
      <c r="D1" s="15" t="s">
        <v>20</v>
      </c>
      <c r="E1" s="15" t="s">
        <v>21</v>
      </c>
      <c r="F1" s="15" t="s">
        <v>22</v>
      </c>
      <c r="G1" s="15" t="s">
        <v>23</v>
      </c>
      <c r="H1" t="s">
        <v>295</v>
      </c>
    </row>
    <row r="2" spans="1:8" x14ac:dyDescent="0.35">
      <c r="A2" s="51">
        <v>1</v>
      </c>
      <c r="B2" t="s">
        <v>36</v>
      </c>
      <c r="D2" t="s">
        <v>196</v>
      </c>
      <c r="E2" s="56">
        <v>2060119</v>
      </c>
      <c r="F2" s="56">
        <v>757000</v>
      </c>
      <c r="G2">
        <v>0</v>
      </c>
      <c r="H2" s="54" t="s">
        <v>296</v>
      </c>
    </row>
    <row r="3" spans="1:8" x14ac:dyDescent="0.35">
      <c r="A3">
        <v>2</v>
      </c>
      <c r="B3" t="s">
        <v>273</v>
      </c>
      <c r="D3" t="s">
        <v>195</v>
      </c>
      <c r="E3" s="56">
        <v>2500000</v>
      </c>
      <c r="F3" s="56">
        <v>1540205</v>
      </c>
      <c r="G3">
        <v>0</v>
      </c>
      <c r="H3" s="54" t="s">
        <v>298</v>
      </c>
    </row>
    <row r="4" spans="1:8" x14ac:dyDescent="0.35">
      <c r="A4" s="51">
        <v>3</v>
      </c>
      <c r="B4" t="s">
        <v>36</v>
      </c>
      <c r="D4" t="s">
        <v>135</v>
      </c>
      <c r="E4" s="56">
        <v>2453257</v>
      </c>
      <c r="F4" s="56">
        <v>393138</v>
      </c>
      <c r="G4">
        <v>0</v>
      </c>
      <c r="H4" s="54" t="s">
        <v>299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DEA09-2848-4455-B7EE-4EBED508C255}">
  <dimension ref="A1:N6"/>
  <sheetViews>
    <sheetView workbookViewId="0">
      <pane ySplit="1" topLeftCell="A2" activePane="bottomLeft" state="frozen"/>
      <selection pane="bottomLeft" activeCell="A5" sqref="A5"/>
    </sheetView>
  </sheetViews>
  <sheetFormatPr defaultRowHeight="14.5" x14ac:dyDescent="0.35"/>
  <cols>
    <col min="1" max="1" width="8.7265625" style="17"/>
    <col min="2" max="2" width="13.26953125" style="17" customWidth="1"/>
    <col min="3" max="3" width="13.6328125" style="17" hidden="1" customWidth="1"/>
    <col min="4" max="4" width="21.54296875" style="17" customWidth="1"/>
    <col min="5" max="5" width="29.1796875" style="17" customWidth="1"/>
    <col min="6" max="6" width="8.7265625" style="17"/>
    <col min="7" max="7" width="21.7265625" style="17" bestFit="1" customWidth="1"/>
    <col min="8" max="8" width="8.7265625" style="17"/>
    <col min="9" max="9" width="18" style="17" bestFit="1" customWidth="1"/>
    <col min="10" max="10" width="11.08984375" style="17" customWidth="1"/>
    <col min="11" max="11" width="20.36328125" style="17" customWidth="1"/>
    <col min="12" max="12" width="17.08984375" style="17" customWidth="1"/>
    <col min="13" max="13" width="31.7265625" style="17" customWidth="1"/>
    <col min="14" max="14" width="25.6328125" style="17" customWidth="1"/>
    <col min="15" max="16384" width="8.7265625" style="17"/>
  </cols>
  <sheetData>
    <row r="1" spans="1:14" s="21" customFormat="1" ht="116" x14ac:dyDescent="0.35">
      <c r="A1" s="18" t="s">
        <v>24</v>
      </c>
      <c r="B1" s="18" t="s">
        <v>25</v>
      </c>
      <c r="C1" s="18" t="s">
        <v>169</v>
      </c>
      <c r="D1" s="19" t="s">
        <v>26</v>
      </c>
      <c r="E1" s="18" t="s">
        <v>27</v>
      </c>
      <c r="F1" s="19" t="s">
        <v>28</v>
      </c>
      <c r="G1" s="18" t="s">
        <v>29</v>
      </c>
      <c r="H1" s="18" t="s">
        <v>30</v>
      </c>
      <c r="I1" s="18" t="s">
        <v>31</v>
      </c>
      <c r="J1" s="19" t="s">
        <v>32</v>
      </c>
      <c r="K1" s="18" t="s">
        <v>182</v>
      </c>
      <c r="L1" s="18" t="s">
        <v>33</v>
      </c>
      <c r="M1" s="20" t="s">
        <v>181</v>
      </c>
      <c r="N1" s="18" t="s">
        <v>93</v>
      </c>
    </row>
    <row r="2" spans="1:14" x14ac:dyDescent="0.35">
      <c r="A2" s="21">
        <v>1</v>
      </c>
      <c r="B2" s="21" t="s">
        <v>35</v>
      </c>
      <c r="C2" s="21">
        <v>16486</v>
      </c>
      <c r="D2" s="17" t="s">
        <v>36</v>
      </c>
      <c r="E2" s="17" t="s">
        <v>37</v>
      </c>
      <c r="F2" s="17" t="s">
        <v>74</v>
      </c>
      <c r="G2" s="17" t="s">
        <v>38</v>
      </c>
      <c r="H2" s="17" t="s">
        <v>39</v>
      </c>
      <c r="I2" s="17" t="s">
        <v>40</v>
      </c>
      <c r="J2" s="22">
        <v>0.4</v>
      </c>
      <c r="K2" s="17" t="s">
        <v>41</v>
      </c>
      <c r="L2" s="17">
        <v>9774999810</v>
      </c>
      <c r="M2" s="23" t="s">
        <v>42</v>
      </c>
      <c r="N2" s="17" t="s">
        <v>43</v>
      </c>
    </row>
    <row r="3" spans="1:14" x14ac:dyDescent="0.35">
      <c r="A3" s="21">
        <v>2</v>
      </c>
      <c r="B3" s="21" t="s">
        <v>44</v>
      </c>
      <c r="C3" s="21">
        <v>20534</v>
      </c>
      <c r="D3" s="17" t="s">
        <v>36</v>
      </c>
      <c r="E3" s="17" t="s">
        <v>45</v>
      </c>
      <c r="F3" s="17" t="s">
        <v>74</v>
      </c>
      <c r="G3" s="17" t="s">
        <v>46</v>
      </c>
      <c r="H3" s="17" t="s">
        <v>47</v>
      </c>
      <c r="I3" s="17" t="s">
        <v>48</v>
      </c>
      <c r="J3" s="22">
        <v>0.2</v>
      </c>
      <c r="K3" s="17" t="s">
        <v>49</v>
      </c>
      <c r="L3" s="17">
        <v>8731002264</v>
      </c>
      <c r="M3" s="23" t="s">
        <v>50</v>
      </c>
      <c r="N3" s="17" t="s">
        <v>51</v>
      </c>
    </row>
    <row r="4" spans="1:14" x14ac:dyDescent="0.35">
      <c r="A4" s="21">
        <v>3</v>
      </c>
      <c r="B4" s="21" t="s">
        <v>35</v>
      </c>
      <c r="C4" s="21"/>
      <c r="D4" s="17" t="s">
        <v>36</v>
      </c>
      <c r="E4" s="17" t="s">
        <v>52</v>
      </c>
      <c r="F4" s="17" t="s">
        <v>74</v>
      </c>
      <c r="G4" s="17" t="s">
        <v>53</v>
      </c>
      <c r="H4" s="17" t="s">
        <v>47</v>
      </c>
      <c r="I4" s="17" t="s">
        <v>48</v>
      </c>
      <c r="J4" s="22">
        <v>0.2</v>
      </c>
      <c r="K4" s="17" t="s">
        <v>54</v>
      </c>
      <c r="L4" s="17">
        <v>9051029900</v>
      </c>
      <c r="M4" s="23" t="s">
        <v>55</v>
      </c>
      <c r="N4" s="17" t="s">
        <v>56</v>
      </c>
    </row>
    <row r="5" spans="1:14" x14ac:dyDescent="0.35">
      <c r="A5" s="21">
        <v>4</v>
      </c>
      <c r="B5" s="24" t="s">
        <v>57</v>
      </c>
      <c r="C5" s="24"/>
      <c r="D5" s="17" t="s">
        <v>36</v>
      </c>
      <c r="E5" s="17" t="s">
        <v>58</v>
      </c>
      <c r="F5" s="17" t="s">
        <v>74</v>
      </c>
      <c r="G5" s="17" t="s">
        <v>59</v>
      </c>
      <c r="H5" s="17" t="s">
        <v>39</v>
      </c>
      <c r="I5" s="17" t="s">
        <v>40</v>
      </c>
      <c r="J5" s="22">
        <v>0.4</v>
      </c>
      <c r="K5" s="17" t="s">
        <v>60</v>
      </c>
      <c r="L5" s="17">
        <v>8879669056</v>
      </c>
      <c r="M5" s="23" t="s">
        <v>61</v>
      </c>
      <c r="N5" s="17" t="s">
        <v>62</v>
      </c>
    </row>
    <row r="6" spans="1:14" x14ac:dyDescent="0.35">
      <c r="A6" s="21">
        <v>5</v>
      </c>
      <c r="B6" s="24" t="s">
        <v>63</v>
      </c>
      <c r="C6" s="24"/>
      <c r="D6" s="17" t="s">
        <v>36</v>
      </c>
      <c r="E6" s="17" t="s">
        <v>64</v>
      </c>
      <c r="F6" s="17" t="s">
        <v>74</v>
      </c>
      <c r="G6" s="17" t="s">
        <v>65</v>
      </c>
      <c r="H6" s="17" t="s">
        <v>47</v>
      </c>
      <c r="I6" s="17" t="s">
        <v>66</v>
      </c>
      <c r="J6" s="22">
        <v>0.2</v>
      </c>
      <c r="K6" s="17" t="s">
        <v>67</v>
      </c>
      <c r="L6" s="17">
        <v>9823392277</v>
      </c>
      <c r="M6" s="23" t="s">
        <v>68</v>
      </c>
      <c r="N6" s="17" t="s">
        <v>69</v>
      </c>
    </row>
  </sheetData>
  <hyperlinks>
    <hyperlink ref="M2" r:id="rId1" xr:uid="{2C91B019-3A2E-4548-A75C-6CC7528FE376}"/>
    <hyperlink ref="M3" r:id="rId2" xr:uid="{7368C8B2-3B19-4157-B466-A2E1CF6C0983}"/>
    <hyperlink ref="M4" r:id="rId3" xr:uid="{FD651CF3-612D-4CF1-88C0-2F352062EAEF}"/>
    <hyperlink ref="M5" r:id="rId4" xr:uid="{8A467FDB-2CC9-40A5-B0D6-4F42FB106511}"/>
    <hyperlink ref="M6" r:id="rId5" xr:uid="{8BFAB75E-3B01-4A89-9877-3C1DDA06A3A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097A2-E772-49F4-AB4D-562376A6371E}">
  <dimension ref="A1:U4"/>
  <sheetViews>
    <sheetView workbookViewId="0">
      <selection activeCell="A4" sqref="A4"/>
    </sheetView>
  </sheetViews>
  <sheetFormatPr defaultRowHeight="14.5" x14ac:dyDescent="0.35"/>
  <cols>
    <col min="2" max="2" width="10.08984375" bestFit="1" customWidth="1"/>
    <col min="5" max="5" width="18.26953125" customWidth="1"/>
    <col min="6" max="6" width="20.7265625" customWidth="1"/>
    <col min="7" max="7" width="27.36328125" customWidth="1"/>
    <col min="9" max="9" width="13.7265625" customWidth="1"/>
    <col min="14" max="14" width="16.1796875" customWidth="1"/>
    <col min="17" max="17" width="15.26953125" customWidth="1"/>
    <col min="20" max="20" width="21.7265625" customWidth="1"/>
    <col min="21" max="21" width="14.26953125" customWidth="1"/>
  </cols>
  <sheetData>
    <row r="1" spans="1:21" s="17" customFormat="1" ht="87" x14ac:dyDescent="0.35">
      <c r="A1" s="27" t="s">
        <v>75</v>
      </c>
      <c r="B1" s="27" t="s">
        <v>25</v>
      </c>
      <c r="C1" s="27" t="s">
        <v>76</v>
      </c>
      <c r="D1" s="27" t="s">
        <v>77</v>
      </c>
      <c r="E1" s="27" t="s">
        <v>78</v>
      </c>
      <c r="F1" s="27" t="s">
        <v>79</v>
      </c>
      <c r="G1" s="27" t="s">
        <v>80</v>
      </c>
      <c r="H1" s="28" t="s">
        <v>81</v>
      </c>
      <c r="I1" s="28" t="s">
        <v>82</v>
      </c>
      <c r="J1" s="28" t="s">
        <v>83</v>
      </c>
      <c r="K1" s="29" t="s">
        <v>84</v>
      </c>
      <c r="L1" s="30" t="s">
        <v>85</v>
      </c>
      <c r="M1" s="27" t="s">
        <v>86</v>
      </c>
      <c r="N1" s="27" t="s">
        <v>87</v>
      </c>
      <c r="O1" s="27" t="s">
        <v>88</v>
      </c>
      <c r="P1" s="27" t="s">
        <v>89</v>
      </c>
      <c r="Q1" s="27" t="s">
        <v>90</v>
      </c>
      <c r="R1" s="27" t="s">
        <v>91</v>
      </c>
      <c r="S1" s="27" t="s">
        <v>92</v>
      </c>
      <c r="T1" s="31" t="s">
        <v>93</v>
      </c>
      <c r="U1" s="17" t="s">
        <v>204</v>
      </c>
    </row>
    <row r="2" spans="1:21" x14ac:dyDescent="0.35">
      <c r="A2">
        <v>1</v>
      </c>
      <c r="B2" s="54">
        <v>45842</v>
      </c>
      <c r="C2" s="21">
        <v>20535</v>
      </c>
      <c r="D2" t="s">
        <v>171</v>
      </c>
      <c r="E2" t="s">
        <v>36</v>
      </c>
      <c r="F2" t="s">
        <v>172</v>
      </c>
      <c r="G2" t="s">
        <v>173</v>
      </c>
      <c r="H2" s="60">
        <v>8.5333500000000007E-2</v>
      </c>
      <c r="I2" s="62">
        <f>H2*12</f>
        <v>1.0240020000000001</v>
      </c>
      <c r="J2" s="61">
        <v>5.1200099999999998E-2</v>
      </c>
      <c r="K2">
        <v>1</v>
      </c>
      <c r="L2">
        <f>I2*K2+J2</f>
        <v>1.0752021</v>
      </c>
      <c r="M2" t="s">
        <v>174</v>
      </c>
      <c r="N2" t="s">
        <v>176</v>
      </c>
      <c r="O2" s="55">
        <v>0.6</v>
      </c>
      <c r="P2" t="s">
        <v>175</v>
      </c>
      <c r="Q2" t="s">
        <v>177</v>
      </c>
      <c r="R2" t="s">
        <v>159</v>
      </c>
      <c r="T2" t="s">
        <v>188</v>
      </c>
      <c r="U2" t="s">
        <v>205</v>
      </c>
    </row>
    <row r="3" spans="1:21" x14ac:dyDescent="0.35">
      <c r="A3">
        <v>2</v>
      </c>
      <c r="B3" s="54">
        <v>45908</v>
      </c>
      <c r="C3">
        <v>17657</v>
      </c>
      <c r="D3" t="s">
        <v>171</v>
      </c>
      <c r="E3" t="s">
        <v>36</v>
      </c>
      <c r="F3" t="s">
        <v>70</v>
      </c>
      <c r="G3" t="s">
        <v>201</v>
      </c>
      <c r="H3">
        <v>0.32300000000000001</v>
      </c>
      <c r="I3">
        <v>2.1999999999999999E-2</v>
      </c>
      <c r="J3">
        <v>2.1999999999999999E-2</v>
      </c>
      <c r="K3">
        <v>1</v>
      </c>
      <c r="L3">
        <v>2.1999999999999999E-2</v>
      </c>
      <c r="M3" t="s">
        <v>174</v>
      </c>
      <c r="N3" t="s">
        <v>176</v>
      </c>
      <c r="O3" s="55">
        <v>0.6</v>
      </c>
      <c r="P3" t="s">
        <v>202</v>
      </c>
      <c r="Q3" t="s">
        <v>203</v>
      </c>
      <c r="R3" t="s">
        <v>159</v>
      </c>
      <c r="T3" t="s">
        <v>180</v>
      </c>
      <c r="U3" t="s">
        <v>301</v>
      </c>
    </row>
    <row r="4" spans="1:21" x14ac:dyDescent="0.35">
      <c r="A4">
        <v>3</v>
      </c>
      <c r="B4" s="54">
        <v>45908</v>
      </c>
      <c r="C4">
        <v>17657</v>
      </c>
      <c r="D4" t="s">
        <v>171</v>
      </c>
      <c r="E4" t="s">
        <v>300</v>
      </c>
      <c r="F4" t="s">
        <v>70</v>
      </c>
      <c r="G4" t="s">
        <v>201</v>
      </c>
      <c r="H4">
        <v>0.92300000000000004</v>
      </c>
      <c r="I4">
        <v>2.1999999999999999E-2</v>
      </c>
      <c r="J4">
        <v>1.2E-2</v>
      </c>
      <c r="K4">
        <v>1</v>
      </c>
      <c r="L4">
        <v>6.2E-2</v>
      </c>
      <c r="M4" t="s">
        <v>212</v>
      </c>
      <c r="N4" t="s">
        <v>176</v>
      </c>
      <c r="O4" s="55">
        <v>0.9</v>
      </c>
      <c r="P4" t="s">
        <v>202</v>
      </c>
      <c r="Q4" t="s">
        <v>203</v>
      </c>
      <c r="R4" t="s">
        <v>159</v>
      </c>
      <c r="T4" t="s">
        <v>180</v>
      </c>
      <c r="U4" t="s">
        <v>302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6650E-CAC5-42D4-A371-B58D7B2F6C38}">
  <dimension ref="A2:K5"/>
  <sheetViews>
    <sheetView topLeftCell="A2" workbookViewId="0">
      <selection activeCell="J5" sqref="J5"/>
    </sheetView>
  </sheetViews>
  <sheetFormatPr defaultRowHeight="14.5" x14ac:dyDescent="0.35"/>
  <cols>
    <col min="2" max="2" width="16.08984375" customWidth="1"/>
    <col min="3" max="3" width="27" style="65" bestFit="1" customWidth="1"/>
    <col min="4" max="4" width="25.6328125" bestFit="1" customWidth="1"/>
    <col min="9" max="9" width="13.90625" bestFit="1" customWidth="1"/>
    <col min="10" max="10" width="10.81640625" bestFit="1" customWidth="1"/>
    <col min="11" max="11" width="20.81640625" customWidth="1"/>
  </cols>
  <sheetData>
    <row r="2" spans="1:11" s="17" customFormat="1" ht="58" x14ac:dyDescent="0.35">
      <c r="A2" s="27" t="s">
        <v>75</v>
      </c>
      <c r="B2" s="32" t="s">
        <v>78</v>
      </c>
      <c r="C2" s="33" t="s">
        <v>79</v>
      </c>
      <c r="D2" s="32" t="s">
        <v>94</v>
      </c>
      <c r="E2" s="27" t="s">
        <v>86</v>
      </c>
      <c r="F2" s="27" t="s">
        <v>87</v>
      </c>
      <c r="G2" s="27" t="s">
        <v>88</v>
      </c>
      <c r="H2" s="27" t="s">
        <v>91</v>
      </c>
      <c r="I2" s="33" t="s">
        <v>95</v>
      </c>
      <c r="J2" s="33" t="s">
        <v>34</v>
      </c>
      <c r="K2" s="33" t="s">
        <v>97</v>
      </c>
    </row>
    <row r="3" spans="1:11" ht="19.5" customHeight="1" x14ac:dyDescent="0.35">
      <c r="A3" s="57">
        <v>1</v>
      </c>
      <c r="B3" t="s">
        <v>36</v>
      </c>
      <c r="C3" s="59" t="s">
        <v>189</v>
      </c>
      <c r="D3" t="s">
        <v>163</v>
      </c>
      <c r="E3" s="57" t="s">
        <v>47</v>
      </c>
      <c r="F3" s="14" t="s">
        <v>66</v>
      </c>
      <c r="G3" s="58">
        <v>0.2</v>
      </c>
      <c r="H3" s="57" t="s">
        <v>164</v>
      </c>
      <c r="I3" s="59" t="s">
        <v>190</v>
      </c>
      <c r="J3" s="59">
        <v>9987045460</v>
      </c>
      <c r="K3" s="59" t="s">
        <v>191</v>
      </c>
    </row>
    <row r="4" spans="1:11" x14ac:dyDescent="0.35">
      <c r="A4" s="57">
        <v>2</v>
      </c>
      <c r="B4" t="s">
        <v>36</v>
      </c>
      <c r="C4" s="59" t="s">
        <v>192</v>
      </c>
      <c r="D4" t="s">
        <v>163</v>
      </c>
      <c r="E4" s="57" t="s">
        <v>47</v>
      </c>
      <c r="F4" s="14" t="s">
        <v>66</v>
      </c>
      <c r="G4" s="58">
        <v>0.2</v>
      </c>
      <c r="H4" s="57" t="s">
        <v>164</v>
      </c>
      <c r="I4" s="59" t="s">
        <v>193</v>
      </c>
      <c r="J4" s="59">
        <v>8095363681</v>
      </c>
      <c r="K4" s="59" t="s">
        <v>194</v>
      </c>
    </row>
    <row r="5" spans="1:11" x14ac:dyDescent="0.35">
      <c r="A5" s="57">
        <v>3</v>
      </c>
      <c r="B5" t="s">
        <v>303</v>
      </c>
      <c r="C5" s="59" t="s">
        <v>192</v>
      </c>
      <c r="D5" t="s">
        <v>163</v>
      </c>
      <c r="E5" s="57" t="s">
        <v>174</v>
      </c>
      <c r="F5" s="14" t="s">
        <v>66</v>
      </c>
      <c r="G5" s="58">
        <v>0.6</v>
      </c>
      <c r="H5" s="57" t="s">
        <v>164</v>
      </c>
      <c r="I5" s="59" t="s">
        <v>193</v>
      </c>
      <c r="J5" s="59">
        <v>8095363682</v>
      </c>
      <c r="K5" s="59" t="s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35FD-9172-4BD2-BC96-CA9A29469AE4}">
  <dimension ref="A1:I3"/>
  <sheetViews>
    <sheetView workbookViewId="0">
      <selection activeCell="C4" sqref="C4"/>
    </sheetView>
  </sheetViews>
  <sheetFormatPr defaultRowHeight="14.5" x14ac:dyDescent="0.35"/>
  <cols>
    <col min="2" max="2" width="10.08984375" bestFit="1" customWidth="1"/>
    <col min="3" max="3" width="15.26953125" bestFit="1" customWidth="1"/>
    <col min="4" max="4" width="14.08984375" bestFit="1" customWidth="1"/>
    <col min="5" max="5" width="39.54296875" bestFit="1" customWidth="1"/>
    <col min="6" max="6" width="10.81640625" bestFit="1" customWidth="1"/>
    <col min="7" max="7" width="10.81640625" customWidth="1"/>
    <col min="8" max="8" width="10.81640625" bestFit="1" customWidth="1"/>
  </cols>
  <sheetData>
    <row r="1" spans="1:9" ht="43.5" x14ac:dyDescent="0.35">
      <c r="A1" s="33" t="s">
        <v>75</v>
      </c>
      <c r="B1" s="33" t="s">
        <v>25</v>
      </c>
      <c r="C1" s="33" t="s">
        <v>78</v>
      </c>
      <c r="D1" s="33" t="s">
        <v>79</v>
      </c>
      <c r="E1" s="33" t="s">
        <v>145</v>
      </c>
      <c r="F1" s="33" t="s">
        <v>93</v>
      </c>
      <c r="G1" s="33" t="s">
        <v>147</v>
      </c>
      <c r="H1" s="50" t="s">
        <v>148</v>
      </c>
      <c r="I1" s="50" t="s">
        <v>97</v>
      </c>
    </row>
    <row r="2" spans="1:9" x14ac:dyDescent="0.35">
      <c r="A2">
        <v>1</v>
      </c>
      <c r="B2" s="54" t="s">
        <v>296</v>
      </c>
      <c r="C2" t="s">
        <v>151</v>
      </c>
      <c r="D2" t="s">
        <v>143</v>
      </c>
      <c r="E2" t="s">
        <v>146</v>
      </c>
      <c r="F2" t="s">
        <v>144</v>
      </c>
      <c r="G2" t="s">
        <v>152</v>
      </c>
      <c r="H2">
        <v>9969474840</v>
      </c>
      <c r="I2" s="53" t="s">
        <v>153</v>
      </c>
    </row>
    <row r="3" spans="1:9" x14ac:dyDescent="0.35">
      <c r="A3">
        <v>2</v>
      </c>
      <c r="B3" s="54" t="s">
        <v>297</v>
      </c>
      <c r="C3" t="s">
        <v>142</v>
      </c>
      <c r="D3" t="s">
        <v>149</v>
      </c>
      <c r="E3" t="s">
        <v>150</v>
      </c>
      <c r="F3" t="s">
        <v>144</v>
      </c>
      <c r="G3" t="s">
        <v>154</v>
      </c>
      <c r="H3">
        <v>9769654298</v>
      </c>
      <c r="I3" s="53" t="s">
        <v>155</v>
      </c>
    </row>
  </sheetData>
  <hyperlinks>
    <hyperlink ref="I2" r:id="rId1" xr:uid="{378114CD-83D7-4E92-94EC-126B02D195C7}"/>
    <hyperlink ref="I3" r:id="rId2" xr:uid="{F0E2F972-ECF4-4DD4-B667-9073C81E7A8B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E3507-7FC7-4FDC-B638-04A6305AE504}">
  <dimension ref="A1:J4"/>
  <sheetViews>
    <sheetView workbookViewId="0">
      <selection activeCell="B2" sqref="B2"/>
    </sheetView>
  </sheetViews>
  <sheetFormatPr defaultRowHeight="14.5" x14ac:dyDescent="0.35"/>
  <cols>
    <col min="2" max="2" width="10.08984375" bestFit="1" customWidth="1"/>
    <col min="3" max="3" width="14.81640625" bestFit="1" customWidth="1"/>
    <col min="4" max="4" width="18.81640625" customWidth="1"/>
    <col min="8" max="8" width="19" customWidth="1"/>
    <col min="9" max="9" width="25.54296875" customWidth="1"/>
    <col min="10" max="10" width="17.6328125" customWidth="1"/>
  </cols>
  <sheetData>
    <row r="1" spans="1:10" ht="43.5" x14ac:dyDescent="0.35">
      <c r="A1" s="27" t="s">
        <v>75</v>
      </c>
      <c r="B1" s="27" t="s">
        <v>25</v>
      </c>
      <c r="C1" s="27" t="s">
        <v>183</v>
      </c>
      <c r="D1" s="27" t="s">
        <v>184</v>
      </c>
      <c r="E1" s="27" t="s">
        <v>185</v>
      </c>
      <c r="F1" s="27" t="s">
        <v>186</v>
      </c>
      <c r="G1" s="32" t="s">
        <v>91</v>
      </c>
      <c r="H1" s="32" t="s">
        <v>187</v>
      </c>
      <c r="I1" s="32" t="s">
        <v>134</v>
      </c>
      <c r="J1" s="32" t="s">
        <v>98</v>
      </c>
    </row>
    <row r="2" spans="1:10" x14ac:dyDescent="0.35">
      <c r="A2">
        <v>1</v>
      </c>
      <c r="B2" s="54">
        <v>45803</v>
      </c>
      <c r="C2" t="s">
        <v>36</v>
      </c>
      <c r="D2" t="s">
        <v>135</v>
      </c>
      <c r="E2" t="s">
        <v>166</v>
      </c>
      <c r="F2" t="s">
        <v>158</v>
      </c>
      <c r="G2" t="s">
        <v>159</v>
      </c>
      <c r="H2" t="s">
        <v>167</v>
      </c>
      <c r="I2" s="53" t="s">
        <v>168</v>
      </c>
      <c r="J2">
        <v>9372297189</v>
      </c>
    </row>
    <row r="3" spans="1:10" x14ac:dyDescent="0.35">
      <c r="A3">
        <v>2</v>
      </c>
      <c r="B3" s="54">
        <v>45756</v>
      </c>
      <c r="C3" t="s">
        <v>36</v>
      </c>
      <c r="D3" t="s">
        <v>71</v>
      </c>
      <c r="E3" t="s">
        <v>165</v>
      </c>
      <c r="F3" t="s">
        <v>158</v>
      </c>
      <c r="G3" t="s">
        <v>159</v>
      </c>
      <c r="H3" t="s">
        <v>72</v>
      </c>
      <c r="I3" s="53" t="s">
        <v>73</v>
      </c>
      <c r="J3">
        <v>9820512865</v>
      </c>
    </row>
    <row r="4" spans="1:10" x14ac:dyDescent="0.35">
      <c r="B4" s="54"/>
    </row>
  </sheetData>
  <hyperlinks>
    <hyperlink ref="I3" r:id="rId1" xr:uid="{9C6FDC50-DBAA-467B-99EC-0AC33C366FF2}"/>
    <hyperlink ref="I2" r:id="rId2" xr:uid="{4F2940C7-FA59-4370-9940-25FE39B5A49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3BA1D-F75F-4EEC-8B26-07871DCBC5A9}">
  <dimension ref="A1:G14"/>
  <sheetViews>
    <sheetView workbookViewId="0">
      <selection activeCell="B10" sqref="B10"/>
    </sheetView>
  </sheetViews>
  <sheetFormatPr defaultRowHeight="14.5" x14ac:dyDescent="0.35"/>
  <cols>
    <col min="1" max="1" width="5.81640625" bestFit="1" customWidth="1"/>
    <col min="2" max="2" width="10.08984375" bestFit="1" customWidth="1"/>
    <col min="3" max="3" width="14.81640625" bestFit="1" customWidth="1"/>
    <col min="4" max="4" width="23.81640625" bestFit="1" customWidth="1"/>
    <col min="5" max="5" width="35.6328125" bestFit="1" customWidth="1"/>
    <col min="6" max="7" width="7.81640625" bestFit="1" customWidth="1"/>
    <col min="8" max="8" width="17.26953125" customWidth="1"/>
    <col min="9" max="9" width="6.7265625" customWidth="1"/>
    <col min="10" max="10" width="15.7265625" customWidth="1"/>
  </cols>
  <sheetData>
    <row r="1" spans="1:7" ht="23.5" customHeight="1" x14ac:dyDescent="0.35">
      <c r="A1" s="33" t="s">
        <v>75</v>
      </c>
      <c r="B1" s="33" t="s">
        <v>25</v>
      </c>
      <c r="C1" s="33" t="s">
        <v>78</v>
      </c>
      <c r="D1" s="33" t="s">
        <v>79</v>
      </c>
      <c r="E1" s="33" t="s">
        <v>96</v>
      </c>
      <c r="F1" s="33" t="s">
        <v>90</v>
      </c>
      <c r="G1" s="33" t="s">
        <v>91</v>
      </c>
    </row>
    <row r="2" spans="1:7" x14ac:dyDescent="0.35">
      <c r="A2">
        <v>1</v>
      </c>
      <c r="B2" s="54">
        <v>45803</v>
      </c>
      <c r="C2" t="s">
        <v>36</v>
      </c>
      <c r="D2" t="s">
        <v>156</v>
      </c>
      <c r="E2" t="s">
        <v>157</v>
      </c>
      <c r="F2" t="s">
        <v>158</v>
      </c>
      <c r="G2" t="s">
        <v>159</v>
      </c>
    </row>
    <row r="3" spans="1:7" x14ac:dyDescent="0.35">
      <c r="A3">
        <v>2</v>
      </c>
      <c r="B3" s="54">
        <v>45756</v>
      </c>
      <c r="C3" t="s">
        <v>36</v>
      </c>
      <c r="D3" t="s">
        <v>160</v>
      </c>
      <c r="E3" t="s">
        <v>161</v>
      </c>
      <c r="F3" t="s">
        <v>158</v>
      </c>
      <c r="G3" t="s">
        <v>159</v>
      </c>
    </row>
    <row r="4" spans="1:7" x14ac:dyDescent="0.35">
      <c r="A4">
        <v>3</v>
      </c>
      <c r="B4" s="54">
        <v>45826</v>
      </c>
      <c r="C4" t="s">
        <v>36</v>
      </c>
      <c r="D4" t="s">
        <v>135</v>
      </c>
      <c r="E4" t="s">
        <v>162</v>
      </c>
      <c r="F4" t="s">
        <v>158</v>
      </c>
      <c r="G4" t="s">
        <v>159</v>
      </c>
    </row>
    <row r="5" spans="1:7" ht="12.5" customHeight="1" x14ac:dyDescent="0.35">
      <c r="A5">
        <v>4</v>
      </c>
      <c r="B5" s="54">
        <v>45842</v>
      </c>
      <c r="C5" t="s">
        <v>36</v>
      </c>
      <c r="D5" t="s">
        <v>178</v>
      </c>
      <c r="E5" t="s">
        <v>179</v>
      </c>
      <c r="F5" t="s">
        <v>158</v>
      </c>
      <c r="G5" t="s">
        <v>159</v>
      </c>
    </row>
    <row r="6" spans="1:7" x14ac:dyDescent="0.35">
      <c r="A6">
        <v>5</v>
      </c>
      <c r="B6" s="54">
        <v>45756</v>
      </c>
      <c r="C6" t="s">
        <v>36</v>
      </c>
      <c r="D6" t="s">
        <v>160</v>
      </c>
      <c r="E6" t="s">
        <v>161</v>
      </c>
      <c r="F6" t="s">
        <v>158</v>
      </c>
      <c r="G6" t="s">
        <v>159</v>
      </c>
    </row>
    <row r="7" spans="1:7" x14ac:dyDescent="0.35">
      <c r="A7">
        <v>6</v>
      </c>
      <c r="B7" s="54">
        <v>45826</v>
      </c>
      <c r="C7" t="s">
        <v>36</v>
      </c>
      <c r="D7" t="s">
        <v>135</v>
      </c>
      <c r="E7" t="s">
        <v>162</v>
      </c>
      <c r="F7" t="s">
        <v>158</v>
      </c>
      <c r="G7" t="s">
        <v>159</v>
      </c>
    </row>
    <row r="8" spans="1:7" x14ac:dyDescent="0.35">
      <c r="A8">
        <v>7</v>
      </c>
      <c r="B8" s="54">
        <v>45842</v>
      </c>
      <c r="C8" t="s">
        <v>36</v>
      </c>
      <c r="D8" t="s">
        <v>178</v>
      </c>
      <c r="E8" t="s">
        <v>179</v>
      </c>
      <c r="F8" t="s">
        <v>158</v>
      </c>
      <c r="G8" t="s">
        <v>159</v>
      </c>
    </row>
    <row r="9" spans="1:7" x14ac:dyDescent="0.35">
      <c r="A9">
        <v>8</v>
      </c>
      <c r="B9" s="54">
        <v>45756</v>
      </c>
      <c r="C9" t="s">
        <v>36</v>
      </c>
      <c r="D9" t="s">
        <v>160</v>
      </c>
      <c r="E9" t="s">
        <v>161</v>
      </c>
      <c r="F9" t="s">
        <v>158</v>
      </c>
      <c r="G9" t="s">
        <v>159</v>
      </c>
    </row>
    <row r="10" spans="1:7" x14ac:dyDescent="0.35">
      <c r="A10">
        <v>9</v>
      </c>
      <c r="B10" s="54">
        <v>45826</v>
      </c>
      <c r="C10" t="s">
        <v>36</v>
      </c>
      <c r="D10" t="s">
        <v>135</v>
      </c>
      <c r="E10" t="s">
        <v>162</v>
      </c>
      <c r="F10" t="s">
        <v>158</v>
      </c>
      <c r="G10" t="s">
        <v>159</v>
      </c>
    </row>
    <row r="11" spans="1:7" x14ac:dyDescent="0.35">
      <c r="A11">
        <v>10</v>
      </c>
      <c r="B11" s="54">
        <v>45842</v>
      </c>
      <c r="C11" t="s">
        <v>36</v>
      </c>
      <c r="D11" t="s">
        <v>178</v>
      </c>
      <c r="E11" t="s">
        <v>179</v>
      </c>
      <c r="F11" t="s">
        <v>158</v>
      </c>
      <c r="G11" t="s">
        <v>159</v>
      </c>
    </row>
    <row r="12" spans="1:7" x14ac:dyDescent="0.35">
      <c r="A12">
        <v>11</v>
      </c>
      <c r="B12" s="54">
        <v>45756</v>
      </c>
      <c r="C12" t="s">
        <v>36</v>
      </c>
      <c r="D12" t="s">
        <v>160</v>
      </c>
      <c r="E12" t="s">
        <v>161</v>
      </c>
      <c r="F12" t="s">
        <v>158</v>
      </c>
      <c r="G12" t="s">
        <v>159</v>
      </c>
    </row>
    <row r="13" spans="1:7" x14ac:dyDescent="0.35">
      <c r="A13">
        <v>12</v>
      </c>
      <c r="B13" s="54">
        <v>45826</v>
      </c>
      <c r="C13" t="s">
        <v>36</v>
      </c>
      <c r="D13" t="s">
        <v>135</v>
      </c>
      <c r="E13" t="s">
        <v>162</v>
      </c>
      <c r="F13" t="s">
        <v>158</v>
      </c>
      <c r="G13" t="s">
        <v>159</v>
      </c>
    </row>
    <row r="14" spans="1:7" x14ac:dyDescent="0.35">
      <c r="A14">
        <v>13</v>
      </c>
      <c r="B14" s="54">
        <v>45842</v>
      </c>
      <c r="C14" t="s">
        <v>36</v>
      </c>
      <c r="D14" t="s">
        <v>178</v>
      </c>
      <c r="E14" t="s">
        <v>179</v>
      </c>
      <c r="F14" t="s">
        <v>158</v>
      </c>
      <c r="G14" t="s">
        <v>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8D5E-00A8-4212-8ABB-C467ACE8DF90}">
  <dimension ref="A1:J3"/>
  <sheetViews>
    <sheetView workbookViewId="0">
      <selection sqref="A1:XFD1"/>
    </sheetView>
  </sheetViews>
  <sheetFormatPr defaultRowHeight="14.5" x14ac:dyDescent="0.35"/>
  <cols>
    <col min="2" max="2" width="14.81640625" bestFit="1" customWidth="1"/>
    <col min="3" max="3" width="29.453125" bestFit="1" customWidth="1"/>
    <col min="6" max="6" width="21.08984375" bestFit="1" customWidth="1"/>
    <col min="7" max="7" width="10.08984375" bestFit="1" customWidth="1"/>
    <col min="8" max="8" width="11.81640625" customWidth="1"/>
  </cols>
  <sheetData>
    <row r="1" spans="1:10" s="37" customFormat="1" ht="58" x14ac:dyDescent="0.35">
      <c r="A1" s="32" t="s">
        <v>75</v>
      </c>
      <c r="B1" s="32" t="s">
        <v>78</v>
      </c>
      <c r="C1" s="32" t="s">
        <v>99</v>
      </c>
      <c r="D1" s="32" t="s">
        <v>100</v>
      </c>
      <c r="E1" s="32" t="s">
        <v>101</v>
      </c>
      <c r="F1" s="34" t="s">
        <v>102</v>
      </c>
      <c r="G1" s="35" t="s">
        <v>25</v>
      </c>
      <c r="H1" s="34" t="s">
        <v>103</v>
      </c>
      <c r="I1" s="32" t="s">
        <v>104</v>
      </c>
      <c r="J1" s="36" t="s">
        <v>105</v>
      </c>
    </row>
    <row r="2" spans="1:10" x14ac:dyDescent="0.35">
      <c r="A2" s="26">
        <v>1</v>
      </c>
      <c r="B2" s="26" t="s">
        <v>36</v>
      </c>
      <c r="C2" s="26" t="s">
        <v>136</v>
      </c>
      <c r="D2" s="26" t="s">
        <v>137</v>
      </c>
      <c r="E2" s="26"/>
      <c r="F2" s="26" t="s">
        <v>138</v>
      </c>
      <c r="G2" s="49">
        <v>45799</v>
      </c>
      <c r="H2" s="49">
        <v>45799</v>
      </c>
      <c r="I2" s="26">
        <v>18</v>
      </c>
      <c r="J2" s="26">
        <v>18</v>
      </c>
    </row>
    <row r="3" spans="1:10" x14ac:dyDescent="0.35">
      <c r="A3" s="26">
        <v>2</v>
      </c>
      <c r="B3" s="26" t="s">
        <v>36</v>
      </c>
      <c r="C3" s="26" t="s">
        <v>139</v>
      </c>
      <c r="D3" s="26" t="s">
        <v>140</v>
      </c>
      <c r="E3" s="26"/>
      <c r="F3" s="26" t="s">
        <v>141</v>
      </c>
      <c r="G3" s="49">
        <v>45800</v>
      </c>
      <c r="H3" s="49">
        <v>45800</v>
      </c>
      <c r="I3" s="26">
        <v>150</v>
      </c>
      <c r="J3" s="26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A40BB-8B86-430A-9B10-2F9C694544C9}">
  <dimension ref="A1:Y4"/>
  <sheetViews>
    <sheetView workbookViewId="0">
      <selection activeCell="J2" sqref="J2"/>
    </sheetView>
  </sheetViews>
  <sheetFormatPr defaultRowHeight="23" customHeight="1" x14ac:dyDescent="0.35"/>
  <cols>
    <col min="10" max="10" width="18.90625" customWidth="1"/>
    <col min="11" max="11" width="31.90625" customWidth="1"/>
    <col min="12" max="12" width="34.08984375" customWidth="1"/>
    <col min="13" max="13" width="29.1796875" customWidth="1"/>
    <col min="14" max="14" width="18.6328125" customWidth="1"/>
  </cols>
  <sheetData>
    <row r="1" spans="1:25" s="46" customFormat="1" ht="23" customHeight="1" x14ac:dyDescent="0.35">
      <c r="A1" s="70" t="s">
        <v>112</v>
      </c>
      <c r="B1" s="44" t="s">
        <v>25</v>
      </c>
      <c r="C1" s="44" t="s">
        <v>113</v>
      </c>
      <c r="D1" s="45" t="s">
        <v>114</v>
      </c>
      <c r="E1" s="45" t="s">
        <v>265</v>
      </c>
      <c r="F1" s="45"/>
      <c r="G1" s="46" t="s">
        <v>115</v>
      </c>
      <c r="H1" s="47" t="s">
        <v>116</v>
      </c>
      <c r="I1" s="46" t="s">
        <v>117</v>
      </c>
      <c r="J1" s="46" t="s">
        <v>118</v>
      </c>
      <c r="K1" s="46" t="s">
        <v>119</v>
      </c>
      <c r="L1" s="48" t="s">
        <v>120</v>
      </c>
      <c r="M1" s="46" t="s">
        <v>121</v>
      </c>
      <c r="N1" s="46" t="s">
        <v>122</v>
      </c>
      <c r="O1" s="46" t="s">
        <v>123</v>
      </c>
      <c r="P1" s="47" t="s">
        <v>124</v>
      </c>
      <c r="Q1" s="47" t="s">
        <v>125</v>
      </c>
      <c r="R1" s="46" t="s">
        <v>126</v>
      </c>
      <c r="S1" s="46" t="s">
        <v>127</v>
      </c>
      <c r="T1" s="46" t="s">
        <v>128</v>
      </c>
      <c r="U1" s="46" t="s">
        <v>129</v>
      </c>
      <c r="V1" s="46" t="s">
        <v>130</v>
      </c>
      <c r="W1" s="46" t="s">
        <v>131</v>
      </c>
      <c r="X1" s="46" t="s">
        <v>132</v>
      </c>
      <c r="Y1" s="46" t="s">
        <v>133</v>
      </c>
    </row>
    <row r="2" spans="1:25" s="17" customFormat="1" ht="23" customHeight="1" x14ac:dyDescent="0.35">
      <c r="A2" s="71">
        <v>1</v>
      </c>
      <c r="B2" s="72"/>
      <c r="C2" s="73" t="s">
        <v>266</v>
      </c>
      <c r="D2" s="74"/>
      <c r="E2" s="74"/>
      <c r="F2" s="74"/>
      <c r="G2" s="10" t="s">
        <v>267</v>
      </c>
      <c r="H2" s="25" t="s">
        <v>268</v>
      </c>
      <c r="I2" s="24" t="s">
        <v>74</v>
      </c>
      <c r="J2" s="24" t="s">
        <v>74</v>
      </c>
      <c r="K2" s="21" t="s">
        <v>74</v>
      </c>
      <c r="L2" s="24" t="s">
        <v>74</v>
      </c>
      <c r="M2" s="24">
        <v>43840</v>
      </c>
      <c r="N2" s="24" t="s">
        <v>74</v>
      </c>
      <c r="O2" s="25" t="s">
        <v>74</v>
      </c>
      <c r="P2" s="75" t="s">
        <v>74</v>
      </c>
      <c r="Q2" s="17" t="s">
        <v>74</v>
      </c>
      <c r="R2" s="25" t="s">
        <v>74</v>
      </c>
      <c r="S2" s="25" t="s">
        <v>269</v>
      </c>
      <c r="T2" s="25" t="s">
        <v>270</v>
      </c>
      <c r="U2" s="76" t="s">
        <v>271</v>
      </c>
      <c r="V2" s="77" t="s">
        <v>272</v>
      </c>
      <c r="W2" s="25" t="s">
        <v>273</v>
      </c>
      <c r="X2" s="25" t="s">
        <v>274</v>
      </c>
      <c r="Y2" s="25" t="s">
        <v>275</v>
      </c>
    </row>
    <row r="3" spans="1:25" s="17" customFormat="1" ht="23" customHeight="1" x14ac:dyDescent="0.35">
      <c r="A3" s="71">
        <v>2</v>
      </c>
      <c r="B3" s="72"/>
      <c r="C3" s="73" t="s">
        <v>276</v>
      </c>
      <c r="D3" s="74"/>
      <c r="E3" s="74"/>
      <c r="F3" s="74"/>
      <c r="G3" s="10" t="s">
        <v>277</v>
      </c>
      <c r="H3" s="21" t="s">
        <v>278</v>
      </c>
      <c r="I3" s="24">
        <v>44153</v>
      </c>
      <c r="J3" s="21"/>
      <c r="K3" s="21"/>
      <c r="L3" s="24"/>
      <c r="M3" s="24">
        <v>44168</v>
      </c>
      <c r="N3" s="21"/>
      <c r="R3" s="25"/>
      <c r="S3" s="25" t="s">
        <v>279</v>
      </c>
      <c r="T3" s="25">
        <v>9419023772</v>
      </c>
      <c r="U3" s="25" t="s">
        <v>280</v>
      </c>
      <c r="V3" s="25" t="s">
        <v>281</v>
      </c>
      <c r="W3" s="25" t="s">
        <v>273</v>
      </c>
      <c r="X3" s="25" t="s">
        <v>282</v>
      </c>
      <c r="Y3" s="17" t="s">
        <v>283</v>
      </c>
    </row>
    <row r="4" spans="1:25" s="17" customFormat="1" ht="23" customHeight="1" x14ac:dyDescent="0.35">
      <c r="A4" s="71">
        <v>3</v>
      </c>
      <c r="B4" s="72"/>
      <c r="C4" s="78" t="s">
        <v>284</v>
      </c>
      <c r="D4" s="74"/>
      <c r="E4" s="74"/>
      <c r="F4" s="74"/>
      <c r="G4" s="10" t="s">
        <v>285</v>
      </c>
      <c r="H4" s="21" t="s">
        <v>286</v>
      </c>
      <c r="I4" s="24">
        <v>44174</v>
      </c>
      <c r="J4" s="21"/>
      <c r="K4" s="21"/>
      <c r="L4" s="24"/>
      <c r="M4" s="24">
        <v>44194</v>
      </c>
      <c r="N4" s="24">
        <v>44195</v>
      </c>
      <c r="P4" s="17" t="s">
        <v>287</v>
      </c>
      <c r="Q4" s="17" t="s">
        <v>288</v>
      </c>
      <c r="R4" s="25"/>
      <c r="S4" s="25" t="s">
        <v>289</v>
      </c>
      <c r="T4" s="25" t="s">
        <v>290</v>
      </c>
      <c r="U4" s="25" t="s">
        <v>291</v>
      </c>
      <c r="V4" s="25" t="s">
        <v>292</v>
      </c>
      <c r="W4" s="25" t="s">
        <v>273</v>
      </c>
      <c r="X4" s="25" t="s">
        <v>282</v>
      </c>
      <c r="Y4" s="17" t="s">
        <v>293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A770-C2D1-4210-9830-7675C891D9BF}">
  <dimension ref="A1:R16"/>
  <sheetViews>
    <sheetView tabSelected="1" workbookViewId="0">
      <selection activeCell="B14" sqref="B14"/>
    </sheetView>
  </sheetViews>
  <sheetFormatPr defaultRowHeight="14.5" x14ac:dyDescent="0.35"/>
  <cols>
    <col min="1" max="1" width="8.7265625" style="17"/>
    <col min="2" max="3" width="15.36328125" style="17" customWidth="1"/>
    <col min="4" max="4" width="16.26953125" style="17" customWidth="1"/>
    <col min="5" max="5" width="17.1796875" style="17" bestFit="1" customWidth="1"/>
    <col min="6" max="6" width="16.7265625" style="17" customWidth="1"/>
    <col min="7" max="7" width="19.08984375" style="17" customWidth="1"/>
    <col min="8" max="8" width="35.7265625" style="17" bestFit="1" customWidth="1"/>
    <col min="9" max="9" width="18" style="17" customWidth="1"/>
    <col min="10" max="10" width="18.08984375" style="17" customWidth="1"/>
    <col min="11" max="11" width="17.54296875" style="17" customWidth="1"/>
    <col min="12" max="12" width="16.26953125" style="17" customWidth="1"/>
    <col min="13" max="13" width="18.26953125" style="17" customWidth="1"/>
    <col min="14" max="14" width="19.81640625" style="17" customWidth="1"/>
    <col min="15" max="15" width="15.1796875" style="17" customWidth="1"/>
    <col min="16" max="16" width="18.90625" style="17" bestFit="1" customWidth="1"/>
    <col min="17" max="17" width="24.453125" style="17" customWidth="1"/>
    <col min="18" max="18" width="20.54296875" style="17" customWidth="1"/>
    <col min="19" max="16384" width="8.7265625" style="17"/>
  </cols>
  <sheetData>
    <row r="1" spans="1:18" x14ac:dyDescent="0.35">
      <c r="A1" s="67" t="s">
        <v>216</v>
      </c>
      <c r="B1" s="67" t="s">
        <v>25</v>
      </c>
      <c r="C1" s="67" t="s">
        <v>294</v>
      </c>
      <c r="D1" s="68" t="s">
        <v>217</v>
      </c>
      <c r="E1" s="68" t="s">
        <v>218</v>
      </c>
      <c r="F1" s="68" t="s">
        <v>219</v>
      </c>
      <c r="G1" s="68" t="s">
        <v>220</v>
      </c>
      <c r="H1" s="68" t="s">
        <v>221</v>
      </c>
      <c r="I1" s="68" t="s">
        <v>222</v>
      </c>
      <c r="J1" s="68" t="s">
        <v>223</v>
      </c>
      <c r="K1" s="68" t="s">
        <v>224</v>
      </c>
      <c r="L1" s="68" t="s">
        <v>225</v>
      </c>
      <c r="M1" s="68" t="s">
        <v>134</v>
      </c>
      <c r="N1" s="68" t="s">
        <v>226</v>
      </c>
      <c r="O1" s="68" t="s">
        <v>227</v>
      </c>
      <c r="P1" s="68" t="s">
        <v>228</v>
      </c>
      <c r="Q1" s="68" t="s">
        <v>229</v>
      </c>
      <c r="R1" s="68" t="s">
        <v>230</v>
      </c>
    </row>
    <row r="2" spans="1:18" x14ac:dyDescent="0.35">
      <c r="A2" s="17">
        <v>1</v>
      </c>
      <c r="B2" s="52">
        <v>45915</v>
      </c>
      <c r="C2" s="66" t="s">
        <v>151</v>
      </c>
      <c r="D2" s="69" t="s">
        <v>231</v>
      </c>
      <c r="E2" s="17" t="s">
        <v>232</v>
      </c>
      <c r="F2" s="69" t="s">
        <v>233</v>
      </c>
      <c r="G2" s="69" t="s">
        <v>234</v>
      </c>
      <c r="H2" s="17" t="s">
        <v>235</v>
      </c>
      <c r="I2" s="17" t="s">
        <v>236</v>
      </c>
      <c r="J2" s="17" t="s">
        <v>237</v>
      </c>
      <c r="K2" s="17" t="s">
        <v>238</v>
      </c>
      <c r="L2" s="17">
        <v>8698916749</v>
      </c>
      <c r="M2" s="23" t="s">
        <v>197</v>
      </c>
      <c r="N2" s="17" t="s">
        <v>239</v>
      </c>
      <c r="O2" s="17" t="s">
        <v>240</v>
      </c>
      <c r="P2" s="17" t="s">
        <v>65</v>
      </c>
      <c r="Q2" s="17" t="s">
        <v>241</v>
      </c>
      <c r="R2" s="17" t="s">
        <v>242</v>
      </c>
    </row>
    <row r="3" spans="1:18" x14ac:dyDescent="0.35">
      <c r="A3" s="17">
        <v>2</v>
      </c>
      <c r="B3" s="52">
        <v>45915</v>
      </c>
      <c r="C3" s="66" t="s">
        <v>151</v>
      </c>
      <c r="D3" s="69" t="s">
        <v>231</v>
      </c>
      <c r="E3" s="17" t="s">
        <v>232</v>
      </c>
      <c r="F3" s="69" t="s">
        <v>243</v>
      </c>
      <c r="G3" s="69" t="s">
        <v>234</v>
      </c>
      <c r="H3" s="17" t="s">
        <v>235</v>
      </c>
      <c r="I3" s="17" t="s">
        <v>244</v>
      </c>
      <c r="J3" s="17" t="s">
        <v>237</v>
      </c>
      <c r="K3" s="17" t="s">
        <v>238</v>
      </c>
      <c r="L3" s="17">
        <v>8698916749</v>
      </c>
      <c r="M3" s="23" t="s">
        <v>197</v>
      </c>
      <c r="N3" s="17" t="s">
        <v>239</v>
      </c>
      <c r="O3" s="17" t="s">
        <v>240</v>
      </c>
      <c r="P3" s="17" t="s">
        <v>245</v>
      </c>
      <c r="Q3" s="17" t="s">
        <v>241</v>
      </c>
      <c r="R3" s="17" t="s">
        <v>242</v>
      </c>
    </row>
    <row r="4" spans="1:18" x14ac:dyDescent="0.35">
      <c r="A4" s="17">
        <v>3</v>
      </c>
      <c r="B4" s="52">
        <v>45915</v>
      </c>
      <c r="C4" s="66" t="s">
        <v>151</v>
      </c>
      <c r="D4" s="69" t="s">
        <v>246</v>
      </c>
      <c r="E4" s="17" t="s">
        <v>232</v>
      </c>
      <c r="F4" s="69" t="s">
        <v>243</v>
      </c>
      <c r="G4" s="69" t="s">
        <v>234</v>
      </c>
      <c r="H4" s="17" t="s">
        <v>247</v>
      </c>
      <c r="I4" s="17" t="s">
        <v>248</v>
      </c>
      <c r="J4" s="17" t="s">
        <v>249</v>
      </c>
      <c r="K4" s="17" t="s">
        <v>250</v>
      </c>
      <c r="M4" s="23" t="s">
        <v>251</v>
      </c>
      <c r="N4" s="17" t="s">
        <v>159</v>
      </c>
      <c r="O4" s="17" t="s">
        <v>240</v>
      </c>
      <c r="P4" s="17" t="s">
        <v>252</v>
      </c>
      <c r="Q4" s="17" t="s">
        <v>253</v>
      </c>
    </row>
    <row r="5" spans="1:18" x14ac:dyDescent="0.35">
      <c r="A5" s="17">
        <v>4</v>
      </c>
      <c r="B5" s="52">
        <v>45912</v>
      </c>
      <c r="C5" s="66" t="s">
        <v>151</v>
      </c>
      <c r="D5" s="69" t="s">
        <v>246</v>
      </c>
      <c r="E5" s="17" t="s">
        <v>232</v>
      </c>
      <c r="F5" s="69" t="s">
        <v>243</v>
      </c>
      <c r="G5" s="69" t="s">
        <v>234</v>
      </c>
      <c r="H5" s="17" t="s">
        <v>254</v>
      </c>
      <c r="I5" s="17" t="s">
        <v>248</v>
      </c>
      <c r="J5" s="17" t="s">
        <v>255</v>
      </c>
      <c r="K5" s="17" t="s">
        <v>256</v>
      </c>
      <c r="L5" s="17">
        <v>8349588375</v>
      </c>
      <c r="N5" s="17" t="s">
        <v>257</v>
      </c>
      <c r="O5" s="17" t="s">
        <v>240</v>
      </c>
      <c r="P5" s="17" t="s">
        <v>252</v>
      </c>
      <c r="Q5" s="17" t="s">
        <v>258</v>
      </c>
      <c r="R5" s="17" t="s">
        <v>259</v>
      </c>
    </row>
    <row r="6" spans="1:18" x14ac:dyDescent="0.35">
      <c r="A6" s="17">
        <v>5</v>
      </c>
      <c r="B6" s="52">
        <v>45915</v>
      </c>
      <c r="C6" s="66" t="s">
        <v>151</v>
      </c>
      <c r="D6" s="69" t="s">
        <v>246</v>
      </c>
      <c r="E6" s="17" t="s">
        <v>232</v>
      </c>
      <c r="F6" s="69" t="s">
        <v>243</v>
      </c>
      <c r="G6" s="69" t="s">
        <v>234</v>
      </c>
      <c r="H6" s="17" t="s">
        <v>260</v>
      </c>
      <c r="I6" s="17" t="s">
        <v>248</v>
      </c>
      <c r="J6" s="17" t="s">
        <v>261</v>
      </c>
      <c r="K6" s="17" t="s">
        <v>262</v>
      </c>
      <c r="L6" s="17">
        <v>9949019306</v>
      </c>
      <c r="M6" s="23" t="s">
        <v>263</v>
      </c>
      <c r="N6" s="17" t="s">
        <v>159</v>
      </c>
      <c r="O6" s="17" t="s">
        <v>264</v>
      </c>
      <c r="P6" s="17" t="s">
        <v>252</v>
      </c>
      <c r="Q6" s="17" t="s">
        <v>258</v>
      </c>
      <c r="R6" s="17" t="s">
        <v>259</v>
      </c>
    </row>
    <row r="7" spans="1:18" x14ac:dyDescent="0.35">
      <c r="A7" s="17">
        <v>6</v>
      </c>
      <c r="B7" s="52">
        <v>45915</v>
      </c>
      <c r="C7" s="66" t="s">
        <v>151</v>
      </c>
      <c r="D7" s="69" t="s">
        <v>231</v>
      </c>
      <c r="E7" s="17" t="s">
        <v>232</v>
      </c>
      <c r="F7" s="69" t="s">
        <v>243</v>
      </c>
      <c r="G7" s="69" t="s">
        <v>234</v>
      </c>
      <c r="H7" s="17" t="s">
        <v>235</v>
      </c>
      <c r="I7" s="17" t="s">
        <v>244</v>
      </c>
      <c r="J7" s="17" t="s">
        <v>237</v>
      </c>
      <c r="K7" s="17" t="s">
        <v>238</v>
      </c>
      <c r="L7" s="17">
        <v>8698916749</v>
      </c>
      <c r="M7" s="23" t="s">
        <v>197</v>
      </c>
      <c r="N7" s="17" t="s">
        <v>239</v>
      </c>
      <c r="O7" s="17" t="s">
        <v>240</v>
      </c>
      <c r="P7" s="17" t="s">
        <v>245</v>
      </c>
      <c r="Q7" s="17" t="s">
        <v>241</v>
      </c>
      <c r="R7" s="17" t="s">
        <v>242</v>
      </c>
    </row>
    <row r="8" spans="1:18" x14ac:dyDescent="0.35">
      <c r="A8" s="17">
        <v>7</v>
      </c>
      <c r="B8" s="52">
        <v>45732</v>
      </c>
      <c r="C8" s="66" t="s">
        <v>151</v>
      </c>
      <c r="D8" s="69" t="s">
        <v>246</v>
      </c>
      <c r="E8" s="17" t="s">
        <v>232</v>
      </c>
      <c r="F8" s="69" t="s">
        <v>243</v>
      </c>
      <c r="G8" s="69" t="s">
        <v>234</v>
      </c>
      <c r="H8" s="17" t="s">
        <v>247</v>
      </c>
      <c r="I8" s="17" t="s">
        <v>248</v>
      </c>
      <c r="J8" s="17" t="s">
        <v>249</v>
      </c>
      <c r="K8" s="17" t="s">
        <v>250</v>
      </c>
      <c r="M8" s="23" t="s">
        <v>251</v>
      </c>
      <c r="N8" s="17" t="s">
        <v>159</v>
      </c>
      <c r="O8" s="17" t="s">
        <v>240</v>
      </c>
      <c r="P8" s="17" t="s">
        <v>252</v>
      </c>
      <c r="Q8" s="17" t="s">
        <v>253</v>
      </c>
    </row>
    <row r="9" spans="1:18" x14ac:dyDescent="0.35">
      <c r="A9" s="17">
        <v>8</v>
      </c>
      <c r="B9" s="52">
        <v>45915</v>
      </c>
      <c r="C9" s="66" t="s">
        <v>151</v>
      </c>
      <c r="D9" s="69" t="s">
        <v>246</v>
      </c>
      <c r="E9" s="17" t="s">
        <v>232</v>
      </c>
      <c r="F9" s="69" t="s">
        <v>243</v>
      </c>
      <c r="G9" s="69" t="s">
        <v>234</v>
      </c>
      <c r="H9" s="17" t="s">
        <v>254</v>
      </c>
      <c r="I9" s="17" t="s">
        <v>248</v>
      </c>
      <c r="J9" s="17" t="s">
        <v>255</v>
      </c>
      <c r="K9" s="17" t="s">
        <v>256</v>
      </c>
      <c r="L9" s="17">
        <v>8349588375</v>
      </c>
      <c r="N9" s="17" t="s">
        <v>257</v>
      </c>
      <c r="O9" s="17" t="s">
        <v>240</v>
      </c>
      <c r="P9" s="17" t="s">
        <v>252</v>
      </c>
      <c r="Q9" s="17" t="s">
        <v>258</v>
      </c>
      <c r="R9" s="17" t="s">
        <v>259</v>
      </c>
    </row>
    <row r="10" spans="1:18" x14ac:dyDescent="0.35">
      <c r="A10" s="17">
        <v>9</v>
      </c>
      <c r="B10" s="52">
        <v>45913</v>
      </c>
      <c r="C10" s="66" t="s">
        <v>151</v>
      </c>
      <c r="D10" s="69" t="s">
        <v>246</v>
      </c>
      <c r="E10" s="17" t="s">
        <v>232</v>
      </c>
      <c r="F10" s="69" t="s">
        <v>243</v>
      </c>
      <c r="G10" s="69" t="s">
        <v>234</v>
      </c>
      <c r="H10" s="17" t="s">
        <v>260</v>
      </c>
      <c r="I10" s="17" t="s">
        <v>248</v>
      </c>
      <c r="J10" s="17" t="s">
        <v>261</v>
      </c>
      <c r="K10" s="17" t="s">
        <v>262</v>
      </c>
      <c r="L10" s="17">
        <v>9949019306</v>
      </c>
      <c r="M10" s="23" t="s">
        <v>263</v>
      </c>
      <c r="N10" s="17" t="s">
        <v>159</v>
      </c>
      <c r="O10" s="17" t="s">
        <v>264</v>
      </c>
      <c r="P10" s="17" t="s">
        <v>252</v>
      </c>
      <c r="Q10" s="17" t="s">
        <v>258</v>
      </c>
      <c r="R10" s="17" t="s">
        <v>259</v>
      </c>
    </row>
    <row r="11" spans="1:18" x14ac:dyDescent="0.35">
      <c r="A11" s="17">
        <v>10</v>
      </c>
      <c r="B11" s="52">
        <v>45915</v>
      </c>
      <c r="C11" s="66" t="s">
        <v>151</v>
      </c>
      <c r="D11" s="69" t="s">
        <v>231</v>
      </c>
      <c r="E11" s="17" t="s">
        <v>232</v>
      </c>
      <c r="F11" s="69" t="s">
        <v>233</v>
      </c>
      <c r="G11" s="69" t="s">
        <v>234</v>
      </c>
      <c r="H11" s="17" t="s">
        <v>235</v>
      </c>
      <c r="I11" s="17" t="s">
        <v>236</v>
      </c>
      <c r="J11" s="17" t="s">
        <v>237</v>
      </c>
      <c r="K11" s="17" t="s">
        <v>238</v>
      </c>
      <c r="L11" s="17">
        <v>8698916749</v>
      </c>
      <c r="M11" s="23" t="s">
        <v>197</v>
      </c>
      <c r="N11" s="17" t="s">
        <v>239</v>
      </c>
      <c r="O11" s="17" t="s">
        <v>240</v>
      </c>
      <c r="P11" s="17" t="s">
        <v>65</v>
      </c>
      <c r="Q11" s="17" t="s">
        <v>241</v>
      </c>
      <c r="R11" s="17" t="s">
        <v>242</v>
      </c>
    </row>
    <row r="12" spans="1:18" x14ac:dyDescent="0.35">
      <c r="A12" s="17">
        <v>11</v>
      </c>
      <c r="B12" s="52">
        <v>45915</v>
      </c>
      <c r="C12" s="66" t="s">
        <v>151</v>
      </c>
      <c r="D12" s="69" t="s">
        <v>231</v>
      </c>
      <c r="E12" s="17" t="s">
        <v>232</v>
      </c>
      <c r="F12" s="69" t="s">
        <v>243</v>
      </c>
      <c r="G12" s="69" t="s">
        <v>234</v>
      </c>
      <c r="H12" s="17" t="s">
        <v>235</v>
      </c>
      <c r="I12" s="17" t="s">
        <v>244</v>
      </c>
      <c r="J12" s="17" t="s">
        <v>237</v>
      </c>
      <c r="K12" s="17" t="s">
        <v>238</v>
      </c>
      <c r="L12" s="17">
        <v>8698916749</v>
      </c>
      <c r="M12" s="23" t="s">
        <v>197</v>
      </c>
      <c r="N12" s="17" t="s">
        <v>239</v>
      </c>
      <c r="O12" s="17" t="s">
        <v>240</v>
      </c>
      <c r="P12" s="17" t="s">
        <v>245</v>
      </c>
      <c r="Q12" s="17" t="s">
        <v>241</v>
      </c>
      <c r="R12" s="17" t="s">
        <v>242</v>
      </c>
    </row>
    <row r="13" spans="1:18" x14ac:dyDescent="0.35">
      <c r="A13" s="17">
        <v>12</v>
      </c>
      <c r="B13" s="52">
        <v>45823</v>
      </c>
      <c r="C13" s="66" t="s">
        <v>151</v>
      </c>
      <c r="D13" s="69" t="s">
        <v>246</v>
      </c>
      <c r="E13" s="17" t="s">
        <v>232</v>
      </c>
      <c r="F13" s="69" t="s">
        <v>243</v>
      </c>
      <c r="G13" s="69" t="s">
        <v>234</v>
      </c>
      <c r="H13" s="17" t="s">
        <v>247</v>
      </c>
      <c r="I13" s="17" t="s">
        <v>248</v>
      </c>
      <c r="J13" s="17" t="s">
        <v>249</v>
      </c>
      <c r="K13" s="17" t="s">
        <v>250</v>
      </c>
      <c r="M13" s="23" t="s">
        <v>251</v>
      </c>
      <c r="N13" s="17" t="s">
        <v>159</v>
      </c>
      <c r="O13" s="17" t="s">
        <v>240</v>
      </c>
      <c r="P13" s="17" t="s">
        <v>252</v>
      </c>
      <c r="Q13" s="17" t="s">
        <v>253</v>
      </c>
    </row>
    <row r="14" spans="1:18" x14ac:dyDescent="0.35">
      <c r="A14" s="17">
        <v>13</v>
      </c>
      <c r="B14" s="52">
        <v>45915</v>
      </c>
      <c r="C14" s="66" t="s">
        <v>151</v>
      </c>
      <c r="D14" s="69" t="s">
        <v>246</v>
      </c>
      <c r="E14" s="17" t="s">
        <v>232</v>
      </c>
      <c r="F14" s="69" t="s">
        <v>243</v>
      </c>
      <c r="G14" s="69" t="s">
        <v>234</v>
      </c>
      <c r="H14" s="17" t="s">
        <v>254</v>
      </c>
      <c r="I14" s="17" t="s">
        <v>248</v>
      </c>
      <c r="J14" s="17" t="s">
        <v>255</v>
      </c>
      <c r="K14" s="17" t="s">
        <v>256</v>
      </c>
      <c r="L14" s="17">
        <v>8349588375</v>
      </c>
      <c r="N14" s="17" t="s">
        <v>257</v>
      </c>
      <c r="O14" s="17" t="s">
        <v>240</v>
      </c>
      <c r="P14" s="17" t="s">
        <v>252</v>
      </c>
      <c r="Q14" s="17" t="s">
        <v>258</v>
      </c>
      <c r="R14" s="17" t="s">
        <v>259</v>
      </c>
    </row>
    <row r="15" spans="1:18" x14ac:dyDescent="0.35">
      <c r="A15" s="17">
        <v>14</v>
      </c>
      <c r="B15" s="52">
        <v>45911</v>
      </c>
      <c r="C15" s="66" t="s">
        <v>151</v>
      </c>
      <c r="D15" s="69" t="s">
        <v>246</v>
      </c>
      <c r="E15" s="17" t="s">
        <v>232</v>
      </c>
      <c r="F15" s="69" t="s">
        <v>243</v>
      </c>
      <c r="G15" s="69" t="s">
        <v>234</v>
      </c>
      <c r="H15" s="17" t="s">
        <v>260</v>
      </c>
      <c r="I15" s="17" t="s">
        <v>248</v>
      </c>
      <c r="J15" s="17" t="s">
        <v>261</v>
      </c>
      <c r="K15" s="17" t="s">
        <v>262</v>
      </c>
      <c r="L15" s="17">
        <v>9949019306</v>
      </c>
      <c r="M15" s="23" t="s">
        <v>263</v>
      </c>
      <c r="N15" s="17" t="s">
        <v>159</v>
      </c>
      <c r="O15" s="17" t="s">
        <v>264</v>
      </c>
      <c r="P15" s="17" t="s">
        <v>252</v>
      </c>
      <c r="Q15" s="17" t="s">
        <v>258</v>
      </c>
      <c r="R15" s="17" t="s">
        <v>259</v>
      </c>
    </row>
    <row r="16" spans="1:18" x14ac:dyDescent="0.35">
      <c r="A16" s="17">
        <v>15</v>
      </c>
      <c r="B16" s="52">
        <v>45915</v>
      </c>
      <c r="C16" s="66" t="s">
        <v>151</v>
      </c>
      <c r="D16" s="69" t="s">
        <v>231</v>
      </c>
      <c r="E16" s="17" t="s">
        <v>232</v>
      </c>
      <c r="F16" s="69" t="s">
        <v>243</v>
      </c>
      <c r="G16" s="69" t="s">
        <v>234</v>
      </c>
      <c r="H16" s="17" t="s">
        <v>235</v>
      </c>
      <c r="I16" s="17" t="s">
        <v>244</v>
      </c>
      <c r="J16" s="17" t="s">
        <v>237</v>
      </c>
      <c r="K16" s="17" t="s">
        <v>238</v>
      </c>
      <c r="L16" s="17">
        <v>8698916749</v>
      </c>
      <c r="M16" s="23" t="s">
        <v>197</v>
      </c>
      <c r="N16" s="17" t="s">
        <v>239</v>
      </c>
      <c r="O16" s="17" t="s">
        <v>240</v>
      </c>
      <c r="P16" s="17" t="s">
        <v>245</v>
      </c>
      <c r="Q16" s="17" t="s">
        <v>241</v>
      </c>
      <c r="R16" s="17" t="s">
        <v>242</v>
      </c>
    </row>
  </sheetData>
  <dataValidations count="4">
    <dataValidation type="list" allowBlank="1" showInputMessage="1" showErrorMessage="1" sqref="G1:G16" xr:uid="{F45DC511-4B36-4624-A379-076935AD14D9}">
      <formula1>"Tender, Opportunity "</formula1>
    </dataValidation>
    <dataValidation type="list" allowBlank="1" showErrorMessage="1" sqref="F1:F16" xr:uid="{83A64C68-6B72-4CC2-9E14-4F280BD0424C}">
      <formula1>"New Lead,Old Lead"</formula1>
      <formula2>0</formula2>
    </dataValidation>
    <dataValidation type="list" allowBlank="1" showErrorMessage="1" sqref="D1:D16" xr:uid="{D39C7032-9281-49BC-A487-C20B79F079E9}">
      <formula1>"Sales Call,Telemarketing,Enquiry,E-mail,Website Enquiry,Empoyee Reference,Marketing Campaign"</formula1>
      <formula2>0</formula2>
    </dataValidation>
    <dataValidation type="list" allowBlank="1" showErrorMessage="1" sqref="E1" xr:uid="{B69E61BB-730B-4979-B7E6-84BF129C1079}">
      <formula1>"Telephone,Meet,Email"</formula1>
      <formula2>0</formula2>
    </dataValidation>
  </dataValidations>
  <hyperlinks>
    <hyperlink ref="M2" r:id="rId1" xr:uid="{3C6F7857-7C9C-4730-A016-075ADAE16C0A}"/>
    <hyperlink ref="M3" r:id="rId2" xr:uid="{B8EC909C-AFC8-4848-89D6-405D834DC73D}"/>
    <hyperlink ref="M4" r:id="rId3" xr:uid="{CD9FF6F8-EF4B-4BD1-85C6-83E0AA3FDE72}"/>
    <hyperlink ref="M6" r:id="rId4" xr:uid="{CE366094-5974-4AEC-962E-3EEA7277A39F}"/>
    <hyperlink ref="M7" r:id="rId5" xr:uid="{EC82592C-5012-4B31-AB00-EFC79BEA2B5C}"/>
    <hyperlink ref="M8" r:id="rId6" xr:uid="{AC48CAF8-0505-4334-BFA3-FE6BA1E77D83}"/>
    <hyperlink ref="M10" r:id="rId7" xr:uid="{EC0A8BA7-B8FB-4000-8988-DA7E2842B49F}"/>
    <hyperlink ref="M11" r:id="rId8" xr:uid="{3DC8C088-9F83-4E3B-9D47-427DA99F3A39}"/>
    <hyperlink ref="M12" r:id="rId9" xr:uid="{8A179234-D130-4BE3-9ED9-F5C887C6280D}"/>
    <hyperlink ref="M13" r:id="rId10" xr:uid="{0A2085FE-33C1-4688-B015-F9E02385F23E}"/>
    <hyperlink ref="M15" r:id="rId11" xr:uid="{79A2F600-6BF6-4D4C-880C-ED42264B424E}"/>
    <hyperlink ref="M16" r:id="rId12" xr:uid="{8BEAE21B-9770-4134-8812-1656E3FCC275}"/>
  </hyperlinks>
  <pageMargins left="0.7" right="0.7" top="0.75" bottom="0.75" header="0.3" footer="0.3"/>
  <drawing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Target Ass-Target Achieved</vt:lpstr>
      <vt:lpstr>Order Booked</vt:lpstr>
      <vt:lpstr>Payment Collection </vt:lpstr>
      <vt:lpstr>Funnel</vt:lpstr>
      <vt:lpstr>Proposal Submitted</vt:lpstr>
      <vt:lpstr>Demo</vt:lpstr>
      <vt:lpstr>Partner on board</vt:lpstr>
      <vt:lpstr>DC visit</vt:lpstr>
      <vt:lpstr>Client Direct visit</vt:lpstr>
      <vt:lpstr>Events Attend</vt:lpstr>
      <vt:lpstr>Tender</vt:lpstr>
      <vt:lpstr>Daily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Roshni Maind</dc:creator>
  <cp:lastModifiedBy>Manoj Mali</cp:lastModifiedBy>
  <dcterms:created xsi:type="dcterms:W3CDTF">2025-06-24T06:19:35Z</dcterms:created>
  <dcterms:modified xsi:type="dcterms:W3CDTF">2025-11-26T10:14:30Z</dcterms:modified>
</cp:coreProperties>
</file>